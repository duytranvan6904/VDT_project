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DT_project\C3_Quadrotors\"/>
    </mc:Choice>
  </mc:AlternateContent>
  <xr:revisionPtr revIDLastSave="0" documentId="8_{7396D05C-44EA-40AF-8521-5A84980079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TASK_TRACKER" sheetId="2" r:id="rId2"/>
    <sheet name="GANTT_VIEW" sheetId="3" r:id="rId3"/>
    <sheet name="RISK_LOG" sheetId="4" r:id="rId4"/>
    <sheet name="WEEKLY_REPORT" sheetId="5" r:id="rId5"/>
  </sheets>
  <definedNames>
    <definedName name="_xlnm._FilterDatabase" localSheetId="3" hidden="1">RISK_LOG!$A$3:$K$11</definedName>
    <definedName name="_xlnm._FilterDatabase" localSheetId="1" hidden="1">TASK_TRACKER!$A$3:$V$35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2" l="1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B40" i="1"/>
  <c r="D33" i="1"/>
  <c r="C33" i="1"/>
  <c r="D32" i="1"/>
  <c r="C32" i="1"/>
  <c r="D31" i="1"/>
  <c r="C31" i="1"/>
  <c r="D30" i="1"/>
  <c r="C30" i="1"/>
  <c r="E26" i="1"/>
  <c r="D26" i="1"/>
  <c r="C26" i="1"/>
  <c r="F26" i="1" s="1"/>
  <c r="B26" i="1"/>
  <c r="D22" i="1"/>
  <c r="D21" i="1"/>
  <c r="D20" i="1"/>
  <c r="D19" i="1"/>
  <c r="D18" i="1"/>
  <c r="D17" i="1"/>
  <c r="D16" i="1"/>
  <c r="E12" i="1"/>
  <c r="D12" i="1"/>
  <c r="E11" i="1"/>
  <c r="D11" i="1"/>
  <c r="E10" i="1"/>
  <c r="D10" i="1"/>
  <c r="F6" i="1"/>
  <c r="E6" i="1"/>
  <c r="E31" i="1" l="1"/>
  <c r="E32" i="1"/>
  <c r="E30" i="1"/>
  <c r="F11" i="1"/>
  <c r="F12" i="1"/>
  <c r="E33" i="1"/>
  <c r="F10" i="1"/>
  <c r="G6" i="1"/>
</calcChain>
</file>

<file path=xl/sharedStrings.xml><?xml version="1.0" encoding="utf-8"?>
<sst xmlns="http://schemas.openxmlformats.org/spreadsheetml/2006/main" count="1054" uniqueCount="383">
  <si>
    <t>🚁 QUADROTOR PROJECT — BÁM MỤC TIÊU &amp; TRÁNH VẬT CẢN</t>
  </si>
  <si>
    <t>Automatic Target Following &amp; Obstacle Avoidance in Real-Time</t>
  </si>
  <si>
    <t>Project Start</t>
  </si>
  <si>
    <t>Project End</t>
  </si>
  <si>
    <t>Duration</t>
  </si>
  <si>
    <t>Today</t>
  </si>
  <si>
    <t>Days Remaining</t>
  </si>
  <si>
    <t>Weeks Remaining</t>
  </si>
  <si>
    <t>24/08/2026</t>
  </si>
  <si>
    <t>25/10/2026</t>
  </si>
  <si>
    <t>9 tuần</t>
  </si>
  <si>
    <t>👥 TEAM MEMBERS</t>
  </si>
  <si>
    <t>Member</t>
  </si>
  <si>
    <t>Role</t>
  </si>
  <si>
    <t>Tasks Assigned</t>
  </si>
  <si>
    <t>Tasks Completed</t>
  </si>
  <si>
    <t>Completion %</t>
  </si>
  <si>
    <t>Duy</t>
  </si>
  <si>
    <t>Xử lý tín hiệu &amp; Định vị</t>
  </si>
  <si>
    <t>Tuân</t>
  </si>
  <si>
    <t>Điều khiển &amp; Dẫn đường</t>
  </si>
  <si>
    <t>Việt Anh</t>
  </si>
  <si>
    <t>Lập trình nhúng &amp; Triển khai</t>
  </si>
  <si>
    <t>🎯 MILESTONE COUNTDOWN</t>
  </si>
  <si>
    <t>Milestone</t>
  </si>
  <si>
    <t>Target Date</t>
  </si>
  <si>
    <t>Days Left</t>
  </si>
  <si>
    <t>KPI</t>
  </si>
  <si>
    <t>Status</t>
  </si>
  <si>
    <t>MS1: Simulink APF hoàn chỉnh</t>
  </si>
  <si>
    <t>Tracking error &lt; 0.3m (sim)</t>
  </si>
  <si>
    <t>⬜ Pending</t>
  </si>
  <si>
    <t>MS2: Vision Pipeline 30 FPS</t>
  </si>
  <si>
    <t>mAP &gt; 0.8, 3D error &lt; 0.5m</t>
  </si>
  <si>
    <t>MS3: SITL Follow-Me + Obstacle</t>
  </si>
  <si>
    <t>Bám ≥ 60s, né ≥ 3 vật cản</t>
  </si>
  <si>
    <t>MS4: Hardware Ready</t>
  </si>
  <si>
    <t>Telemetry ổn định ≥ 30 phút</t>
  </si>
  <si>
    <t>MS5: Real Flight Follow</t>
  </si>
  <si>
    <t>Bám ≥ 30s, error &lt; 1.5m</t>
  </si>
  <si>
    <t>MS6: Full System (Obstacle)</t>
  </si>
  <si>
    <t>Min clearance &gt; 0.8m</t>
  </si>
  <si>
    <t>MS7: Final Report</t>
  </si>
  <si>
    <t>Báo cáo + video hoàn chỉnh</t>
  </si>
  <si>
    <t>📊 OVERALL PROGRESS</t>
  </si>
  <si>
    <t>Total Tasks</t>
  </si>
  <si>
    <t>Completed</t>
  </si>
  <si>
    <t>In Progress</t>
  </si>
  <si>
    <t>Blocked</t>
  </si>
  <si>
    <t>Overall %</t>
  </si>
  <si>
    <t>📈 PHASE PROGRESS</t>
  </si>
  <si>
    <t>Phase</t>
  </si>
  <si>
    <t>Done</t>
  </si>
  <si>
    <t>Progress %</t>
  </si>
  <si>
    <t>Weeks</t>
  </si>
  <si>
    <t>GĐ1: Simulation &amp; APF</t>
  </si>
  <si>
    <t>W1-W2</t>
  </si>
  <si>
    <t>GĐ2: Tracking &amp; Follow</t>
  </si>
  <si>
    <t>W3-W4</t>
  </si>
  <si>
    <t>GĐ3: Hardware &amp; Bench Test</t>
  </si>
  <si>
    <t>W5-W6</t>
  </si>
  <si>
    <t>GĐ4: Thực nghiệm &amp; Báo cáo</t>
  </si>
  <si>
    <t>W7-W9</t>
  </si>
  <si>
    <t>⚠️ ALERTS &amp; NOTES</t>
  </si>
  <si>
    <t>⏰ Overdue tasks:</t>
  </si>
  <si>
    <t>🔴 Blocked tasks:</t>
  </si>
  <si>
    <t>📋 Notes: Weekly review mỗi thứ 6. Update status trước khi họp.</t>
  </si>
  <si>
    <t>📋 TASK TRACKER — Quadrotor Follow-Me &amp; Obstacle Avoidance Project</t>
  </si>
  <si>
    <t>Start: 24/08/2026 | End: 25/10/2026 | Team: Duy · Tuân · Việt Anh</t>
  </si>
  <si>
    <t>No.</t>
  </si>
  <si>
    <t>Task ID</t>
  </si>
  <si>
    <t>Giai đoạn</t>
  </si>
  <si>
    <t>Week</t>
  </si>
  <si>
    <t>Module</t>
  </si>
  <si>
    <t>Tên nhiệm vụ</t>
  </si>
  <si>
    <t>Mô tả chi tiết</t>
  </si>
  <si>
    <t>Owner</t>
  </si>
  <si>
    <t>Reviewer</t>
  </si>
  <si>
    <t>Priority</t>
  </si>
  <si>
    <t>Predecessor</t>
  </si>
  <si>
    <t>Planned Start</t>
  </si>
  <si>
    <t>Planned End</t>
  </si>
  <si>
    <t>Actual Start</t>
  </si>
  <si>
    <t>Actual End</t>
  </si>
  <si>
    <t>% Complete</t>
  </si>
  <si>
    <t>Countdown
(days)</t>
  </si>
  <si>
    <t>Effort
(hours)</t>
  </si>
  <si>
    <t>Deliverable</t>
  </si>
  <si>
    <t>Acceptance Criteria</t>
  </si>
  <si>
    <t>Notes / Blockers</t>
  </si>
  <si>
    <t>GĐ1-T01</t>
  </si>
  <si>
    <t>W1</t>
  </si>
  <si>
    <t>M1</t>
  </si>
  <si>
    <t>Xây dựng mô hình động học 6DOF UAV trên Simulink</t>
  </si>
  <si>
    <t>Mô hình input: lực/moment, output: pose (x,y,z,φ,θ,ψ). Bao gồm mô hình cánh quạt, trọng lực, khí động.</t>
  </si>
  <si>
    <t>🔴 Critical</t>
  </si>
  <si>
    <t>—</t>
  </si>
  <si>
    <t>⬜ Not Started</t>
  </si>
  <si>
    <t>File .slx mô hình UAV</t>
  </si>
  <si>
    <t>Mô hình chạy ổn định, output đúng physical unit</t>
  </si>
  <si>
    <t>GĐ1-T02</t>
  </si>
  <si>
    <t>M8</t>
  </si>
  <si>
    <t>Lập trình hàm APF: lực hút, lực đẩy, Modified APF</t>
  </si>
  <si>
    <t>Triển khai Attractive Potential, Repulsive Potential, xử lý GNRON (Goal Non-Reachable with Obstacles Nearby), lực xoay chống Local Minima.</t>
  </si>
  <si>
    <t>Module APF (.m/.slx)</t>
  </si>
  <si>
    <t>APF hội tụ với ≥ 5 cấu hình vật cản khác nhau</t>
  </si>
  <si>
    <t>GĐ1-T03</t>
  </si>
  <si>
    <t>M2</t>
  </si>
  <si>
    <t>Nghiên cứu &amp; chuẩn bị pipeline YOLO detection</t>
  </si>
  <si>
    <t>Survey YOLO versions (v8/v11), chọn model phù hợp cho embedded. Chuẩn bị dataset, test trên PC.</t>
  </si>
  <si>
    <t>🟡 High</t>
  </si>
  <si>
    <t>Report chọn model + benchmark</t>
  </si>
  <si>
    <t>Model chạy được trên PC, mAP &gt; 0.7 trên test set</t>
  </si>
  <si>
    <t>GĐ1-T04</t>
  </si>
  <si>
    <t>Cài đặt Ubuntu + ROS 2 Humble + PX4-Autopilot</t>
  </si>
  <si>
    <t>Setup dual-boot/VM, cài ROS 2 Humble, PX4 SITL, Gazebo Garden. Đảm bảo build thành công.</t>
  </si>
  <si>
    <t>Screenshot build thành công</t>
  </si>
  <si>
    <t>PX4 SITL + Gazebo chạy được, ROS 2 topic nhận được</t>
  </si>
  <si>
    <t>GĐ1-T05</t>
  </si>
  <si>
    <t>W2</t>
  </si>
  <si>
    <t>Quét bộ thông số APF (k_att, k_rep, d0) trên Simulink</t>
  </si>
  <si>
    <t>Chạy Monte Carlo/grid search trên các bộ thông số. Tìm bộ tối ưu cho nhiều kịch bản vật cản.</t>
  </si>
  <si>
    <t>Bảng thông số tối ưu + đồ thị quỹ đạo</t>
  </si>
  <si>
    <t>Tracking error &lt; 0.3m trên simulation, quỹ đạo mượt</t>
  </si>
  <si>
    <t>GĐ1-T06</t>
  </si>
  <si>
    <t>M2/M3</t>
  </si>
  <si>
    <t>Tích hợp YOLO + ByteTrack, tính toạ độ 3D từ depth</t>
  </si>
  <si>
    <t>Kết hợp YOLO detection với ByteTrack tracker. Sử dụng depth camera để tính toạ độ 3D trong Local Frame.</t>
  </si>
  <si>
    <t>Python module Vision pipeline</t>
  </si>
  <si>
    <t>Tracking liên tục ≥ 30 FPS, 3D error &lt; 0.5m trong phòng</t>
  </si>
  <si>
    <t>GĐ1-T07</t>
  </si>
  <si>
    <t>M1/M9</t>
  </si>
  <si>
    <t>Thiết lập Offboard control: takeoff, land, waypoint</t>
  </si>
  <si>
    <t>Xây dựng ROS 2 node giao tiếp PX4 qua uXRCE-DDS. Thực hiện takeoff, land, waypoint tracking trong Gazebo.</t>
  </si>
  <si>
    <t>ROS 2 package offboard_control</t>
  </si>
  <si>
    <t>UAV takeoff → waypoint → land thành công 100% trong SITL</t>
  </si>
  <si>
    <t>GĐ1-T08</t>
  </si>
  <si>
    <t>Xác định hệ quy chiếu &amp; interface giữa các module</t>
  </si>
  <si>
    <t>Thống nhất frame conventions (NED/ENU), message types, topic names giữa Vision → Control → PX4.</t>
  </si>
  <si>
    <t>Cả nhóm</t>
  </si>
  <si>
    <t>Document interface specification</t>
  </si>
  <si>
    <t>Tài liệu rõ ràng, cả nhóm thống nhất</t>
  </si>
  <si>
    <t>GĐ2-T01</t>
  </si>
  <si>
    <t>W3</t>
  </si>
  <si>
    <t>M4/M5</t>
  </si>
  <si>
    <t>Thiết kế EKF ước lượng vận tốc mục tiêu</t>
  </si>
  <si>
    <t>Extended Kalman Filter: state = [x, y, z, vx, vy, vz], measurement từ Vision pipeline. Tune Q, R matrices.</t>
  </si>
  <si>
    <t>EKF module (Python/C++)</t>
  </si>
  <si>
    <t>Velocity estimate error &lt; 0.3 m/s trên dữ liệu mô phỏng</t>
  </si>
  <si>
    <t>GĐ2-T02</t>
  </si>
  <si>
    <t>M5</t>
  </si>
  <si>
    <t>Lập trình Dead Reckoning khi mất dấu mục tiêu</t>
  </si>
  <si>
    <t>Khi camera mất dấu (1-2s), sử dụng EKF prediction để duy trì ước lượng vị trí mục tiêu.</t>
  </si>
  <si>
    <t>Dead Reckoning module</t>
  </si>
  <si>
    <t>Dự đoán đúng hướng đi khi ngắt frame 1-2s</t>
  </si>
  <si>
    <t>GĐ2-T03</t>
  </si>
  <si>
    <t>M6</t>
  </si>
  <si>
    <t>Thiết kế guidance law: UAV giữ khoảng cách d_follow phía sau mục tiêu, tự điều chỉnh heading.</t>
  </si>
  <si>
    <t>Follow guidance module</t>
  </si>
  <si>
    <t>GĐ2-T04</t>
  </si>
  <si>
    <t>Tích hợp Vision node vào ROS 2, publish topic</t>
  </si>
  <si>
    <t>Đóng gói Vision pipeline thành ROS 2 node, publish TargetState message lên topic.</t>
  </si>
  <si>
    <t>GĐ1-T06, GĐ1-T07</t>
  </si>
  <si>
    <t>ROS 2 vision node package</t>
  </si>
  <si>
    <t>Topic publish ổn định ≥ 30 Hz</t>
  </si>
  <si>
    <t>GĐ2-T05</t>
  </si>
  <si>
    <t>W4</t>
  </si>
  <si>
    <t>M4</t>
  </si>
  <si>
    <t>Calibration camera, test depth accuracy</t>
  </si>
  <si>
    <t>Calibrate intrinsic/extrinsic parameters. Đánh giá độ chính xác depth tại các khoảng cách 1-10m.</t>
  </si>
  <si>
    <t>Calibration report + parameters file</t>
  </si>
  <si>
    <t>Depth error &lt; 5% tại khoảng cách 1-5m</t>
  </si>
  <si>
    <t>GĐ2-T06</t>
  </si>
  <si>
    <t>M8/M9</t>
  </si>
  <si>
    <t>Port APF từ Simulink sang C++/Python ROS 2 node</t>
  </si>
  <si>
    <t>Chuyển đổi thuật toán Modified APF sang ROS 2. Kết nối với obstacle data (depth/pointcloud).</t>
  </si>
  <si>
    <t>GĐ1-T05, GĐ2-T03</t>
  </si>
  <si>
    <t>ROS 2 APF planner node</t>
  </si>
  <si>
    <t>APF hoạt động đúng trong SITL, kết quả tương đương Simulink</t>
  </si>
  <si>
    <t>GĐ2-T07</t>
  </si>
  <si>
    <t>M10</t>
  </si>
  <si>
    <t>Xây dựng State Machine (SEARCH/FOLLOW/AVOID/HOLD)</t>
  </si>
  <si>
    <t>GĐ2-T04, GĐ2-T06</t>
  </si>
  <si>
    <t>State Machine node + diagram</t>
  </si>
  <si>
    <t>Chuyển trạng thái đúng 100% trong SITL test cases</t>
  </si>
  <si>
    <t>GĐ2-T08</t>
  </si>
  <si>
    <t>M1-M10</t>
  </si>
  <si>
    <t>★ MILESTONE 1: Test tích hợp toàn hệ thống trên SITL</t>
  </si>
  <si>
    <t>Chạy full pipeline: Vision → EKF → Follow → APF → State Machine → PX4 trên Gazebo. Quay video demo.</t>
  </si>
  <si>
    <t>GĐ2-T06, GĐ2-T07</t>
  </si>
  <si>
    <t>Video demo SITL + test report</t>
  </si>
  <si>
    <t>UAV bám mục tiêu ≥ 60s, né ≥ 3 vật cản, tracking error &lt; 1.0m</t>
  </si>
  <si>
    <t>GĐ3-T01</t>
  </si>
  <si>
    <t>W5</t>
  </si>
  <si>
    <t>Lắp ráp Companion Computer + Camera lên kit X500</t>
  </si>
  <si>
    <t>Mount máy tính nhúng, camera, module nguồn BEC. Đảm bảo cân bằng trọng tâm.</t>
  </si>
  <si>
    <t>Ảnh lắp ráp + checklist phần cứng</t>
  </si>
  <si>
    <t>Tất cả module lắp chắc chắn, trọng tâm OK</t>
  </si>
  <si>
    <t>GĐ3-T02</t>
  </si>
  <si>
    <t>M9/M10</t>
  </si>
  <si>
    <t>Thiết lập UART/USB giữa máy tính nhúng và PX4</t>
  </si>
  <si>
    <t>Cấu hình serial baudrate 921600, test MAVLink/uXRCE-DDS. Setup Offboard switch qua RC + Kill switch.</t>
  </si>
  <si>
    <t>Communication test log</t>
  </si>
  <si>
    <t>Telemetry ổn định ≥ 30 phút, Offboard switch 100%</t>
  </si>
  <si>
    <t>GĐ3-T03</t>
  </si>
  <si>
    <t>Tối ưu YOLO → TensorRT/ONNX cho máy tính nhúng</t>
  </si>
  <si>
    <t>Convert model sang TensorRT FP16. Benchmark FPS trên hardware thực.</t>
  </si>
  <si>
    <t>Optimized model + benchmark report</t>
  </si>
  <si>
    <t>FPS ≥ 15 trên máy tính nhúng (target ≥ 25)</t>
  </si>
  <si>
    <t>GĐ3-T04</t>
  </si>
  <si>
    <t>Fine-tune APF + EKF parameters trên SITL</t>
  </si>
  <si>
    <t>Chạy thêm nhiều kịch bản SITL để tinh chỉnh tham số trước khi sang phần cứng.</t>
  </si>
  <si>
    <t>🟢 Normal</t>
  </si>
  <si>
    <t>Updated parameter set + test results</t>
  </si>
  <si>
    <t>Cải thiện tracking error ≥ 10% so với tuần 4</t>
  </si>
  <si>
    <t>GĐ3-T05</t>
  </si>
  <si>
    <t>W6</t>
  </si>
  <si>
    <t>M2/M4</t>
  </si>
  <si>
    <t>Test camera + Vision pipeline trên phần cứng</t>
  </si>
  <si>
    <t>Chạy full Vision pipeline (YOLO + ByteTrack + depth) trên máy tính nhúng. Benchmark end-to-end latency.</t>
  </si>
  <si>
    <t>Hardware Vision benchmark</t>
  </si>
  <si>
    <t>End-to-end latency &lt; 100ms, FPS ≥ 15</t>
  </si>
  <si>
    <t>GĐ3-T06</t>
  </si>
  <si>
    <t>M9</t>
  </si>
  <si>
    <t>Dry Run: test motor response (không cánh quạt)</t>
  </si>
  <si>
    <t>Chạy toàn bộ hệ thống, kiểm tra motor phản ứng đúng khi mục tiêu di chuyển. Không gắn propeller.</t>
  </si>
  <si>
    <t>GĐ3-T02, GĐ3-T05</t>
  </si>
  <si>
    <t>Dry run video + motor log</t>
  </si>
  <si>
    <t>Motor response đúng hướng 100%, latency &lt; 200ms</t>
  </si>
  <si>
    <t>GĐ3-T07</t>
  </si>
  <si>
    <t>Calibrate thuật toán APF/EKF trên phần cứng thực</t>
  </si>
  <si>
    <t>Tune lại tham số cho điều kiện thực tế (noise, latency khác simulation).</t>
  </si>
  <si>
    <t>Updated real-world parameter set</t>
  </si>
  <si>
    <t>Parameters converge, ready for flight test</t>
  </si>
  <si>
    <t>GĐ3-T08</t>
  </si>
  <si>
    <t>Bay bãi trống: bám mục tiêu động (chưa có vật cản)</t>
  </si>
  <si>
    <t>Bay thực tế trong bãi trống. Mục tiêu đi bộ, UAV tự bám theo.</t>
  </si>
  <si>
    <t>GĐ3-T06, GĐ3-T07</t>
  </si>
  <si>
    <t>Flight video + PX4 ulog</t>
  </si>
  <si>
    <t>★ MS2: Bám mục tiêu ≥ 30s, tracking error &lt; 1.5m, Yaw auto-align</t>
  </si>
  <si>
    <t>GĐ4-T01</t>
  </si>
  <si>
    <t>W7</t>
  </si>
  <si>
    <t>M7/M8</t>
  </si>
  <si>
    <t>Setup bãi thử nghiệm có vật cản mềm/an toàn</t>
  </si>
  <si>
    <t>Đặt cọc tiêu, thùng xốp làm vật cản. Đo vị trí ground truth.</t>
  </si>
  <si>
    <t>Sơ đồ bãi thử + ảnh setup</t>
  </si>
  <si>
    <t>Ít nhất 3 vật cản, khoảng cách rõ ràng</t>
  </si>
  <si>
    <t>GĐ4-T02</t>
  </si>
  <si>
    <t>Bay thực với vật cản: APF + EKF full system</t>
  </si>
  <si>
    <t>Kích hoạt toàn bộ hệ thống ngoài thực tế. Nhiều kịch bản: thẳng, zigzag, khuất sau vật cản.</t>
  </si>
  <si>
    <t>GĐ3-T08, GĐ4-T01</t>
  </si>
  <si>
    <t>Flight videos + ulogs các kịch bản</t>
  </si>
  <si>
    <t>★ MS3: Né vật cản thành công, min clearance &gt; 0.8m</t>
  </si>
  <si>
    <t>GĐ4-T03</t>
  </si>
  <si>
    <t>Test kịch bản target lost &amp; re-acquisition</t>
  </si>
  <si>
    <t>Mục tiêu đi khuất sau vật cản, đánh giá khả năng dự đoán và bắt lại dấu.</t>
  </si>
  <si>
    <t>Test report + video</t>
  </si>
  <si>
    <t>Target re-acquisition &lt; 3s sau khi mất dấu</t>
  </si>
  <si>
    <t>GĐ4-T04</t>
  </si>
  <si>
    <t>W8</t>
  </si>
  <si>
    <t>Trích xuất &amp; phân tích log (PX4 ulog + ROS 2 bag)</t>
  </si>
  <si>
    <t>Trích xuất dữ liệu từ log, tính tracking error, min obstacle clearance, system latency.</t>
  </si>
  <si>
    <t>GĐ4-T02, GĐ4-T03</t>
  </si>
  <si>
    <t>Processed data files (.csv/.mat)</t>
  </si>
  <si>
    <t>Data đầy đủ cho tất cả kịch bản test</t>
  </si>
  <si>
    <t>GĐ4-T05</t>
  </si>
  <si>
    <t>Vẽ đồ thị định lượng: tracking error, clearance, latency</t>
  </si>
  <si>
    <t>Biểu đồ so sánh simulation vs thực tế. Bảng tổng hợp KPI.</t>
  </si>
  <si>
    <t>Đồ thị + bảng KPI (.png/.pdf)</t>
  </si>
  <si>
    <t>Đồ thị rõ ràng, có legend, axis labels</t>
  </si>
  <si>
    <t>GĐ4-T06</t>
  </si>
  <si>
    <t>Đóng gói mã nguồn + viết tài liệu vận hành</t>
  </si>
  <si>
    <t>Clean code, README, hướng dẫn build/deploy, launch files.</t>
  </si>
  <si>
    <t>GitHub repo / zip package</t>
  </si>
  <si>
    <t>README đầy đủ, build thành công theo hướng dẫn</t>
  </si>
  <si>
    <t>GĐ4-T07</t>
  </si>
  <si>
    <t>W9</t>
  </si>
  <si>
    <t>Hoàn thiện báo cáo nghiệm thu</t>
  </si>
  <si>
    <t>Viết báo cáo đầy đủ: lý thuyết, thiết kế, kết quả, kết luận. Kèm video demo.</t>
  </si>
  <si>
    <t>GĐ4-T04, GĐ4-T05, GĐ4-T06</t>
  </si>
  <si>
    <t>Báo cáo .docx/.pdf + video</t>
  </si>
  <si>
    <t>Báo cáo hoàn chỉnh, video ≥ 3 phút</t>
  </si>
  <si>
    <t>GĐ4-T08</t>
  </si>
  <si>
    <t>Buffer: Bay bổ sung / fix bugs / cải thiện</t>
  </si>
  <si>
    <t>Thời gian dự phòng cho các vấn đề phát sinh. Bay thêm nếu cần data.</t>
  </si>
  <si>
    <t>Updated results nếu có</t>
  </si>
  <si>
    <t>📅 GANTT CHART — 9-Week Timeline</t>
  </si>
  <si>
    <t>Task Name</t>
  </si>
  <si>
    <t>◆</t>
  </si>
  <si>
    <t>Legend:</t>
  </si>
  <si>
    <t>██</t>
  </si>
  <si>
    <t>GĐ3: Hardware &amp; Bench</t>
  </si>
  <si>
    <t>◆ = Milestone</t>
  </si>
  <si>
    <t>⚠️ RISK REGISTER — Quadrotor Project</t>
  </si>
  <si>
    <t>Proactive risk management — Required for hardware flight testing</t>
  </si>
  <si>
    <t>Risk ID</t>
  </si>
  <si>
    <t>Mô tả rủi ro</t>
  </si>
  <si>
    <t>Probability</t>
  </si>
  <si>
    <t>Impact</t>
  </si>
  <si>
    <t>Risk Score</t>
  </si>
  <si>
    <t>Mitigation Plan</t>
  </si>
  <si>
    <t>Contingency Plan</t>
  </si>
  <si>
    <t>Related Tasks</t>
  </si>
  <si>
    <t>Last Updated</t>
  </si>
  <si>
    <t>R01</t>
  </si>
  <si>
    <t>Camera depth không chính xác ngoài trời do ánh sáng mạnh/IR interference</t>
  </si>
  <si>
    <t>High</t>
  </si>
  <si>
    <t>🔴 9 (Extreme)</t>
  </si>
  <si>
    <t>Mitigation: Sử dụng stereo matching thay vì structured light depth. Test outdoor trước W5.</t>
  </si>
  <si>
    <t>Fallback: GPS-only relative positioning</t>
  </si>
  <si>
    <t>Open</t>
  </si>
  <si>
    <t>GĐ1-T06, GĐ3-T05</t>
  </si>
  <si>
    <t>R02</t>
  </si>
  <si>
    <t>TensorRT conversion fail hoặc FPS quá thấp trên máy tính nhúng</t>
  </si>
  <si>
    <t>Medium</t>
  </si>
  <si>
    <t>🟡 6 (High)</t>
  </si>
  <si>
    <t>Mitigation: Chuẩn bị model nhẹ hơn (YOLOv8n). Test conversion sớm từ W3.</t>
  </si>
  <si>
    <t>Fallback: Chạy ONNX Runtime thay TensorRT</t>
  </si>
  <si>
    <t>R03</t>
  </si>
  <si>
    <t>Giao tiếp UART/USB giữa companion computer và PX4 không ổn định</t>
  </si>
  <si>
    <t>Critical</t>
  </si>
  <si>
    <t>🟡 8 (High)</t>
  </si>
  <si>
    <t>Mitigation: Test kỹ baudrate, cable quality. Có backup cable.</t>
  </si>
  <si>
    <t>Fallback: Sử dụng Ethernet/WiFi bridge</t>
  </si>
  <si>
    <t>R04</t>
  </si>
  <si>
    <t>GPS drift gây sai lệch vị trí khi bay outdoor</t>
  </si>
  <si>
    <t>Mitigation: Sử dụng relative position (camera-based) thay vì absolute GPS.</t>
  </si>
  <si>
    <t>Fallback: Bay trong khu vực có RTK GPS</t>
  </si>
  <si>
    <t>R05</t>
  </si>
  <si>
    <t>Wind disturbance gây mất ổn định khi bay thực</t>
  </si>
  <si>
    <t>Mitigation: Chọn ngày gió nhẹ &lt; 3 m/s. Tune PID cho wind rejection.</t>
  </si>
  <si>
    <t>Fallback: Bay indoor trong nhà kho/gym lớn</t>
  </si>
  <si>
    <t>GĐ3-T08, GĐ4-T02</t>
  </si>
  <si>
    <t>R06</t>
  </si>
  <si>
    <t>Local Minima trong APF - UAV bị kẹt giữa các vật cản</t>
  </si>
  <si>
    <t>🟠 4 (Medium)</t>
  </si>
  <si>
    <t>Mitigation: Modified APF với lực xoay + random perturbation.</t>
  </si>
  <si>
    <t>Fallback: Switch sang simple waypoint bypass</t>
  </si>
  <si>
    <t>R07</t>
  </si>
  <si>
    <t>Thời gian 9 tuần không đủ để hoàn thành toàn bộ scope</t>
  </si>
  <si>
    <t>Mitigation: Prioritize MVP (follow without NN prediction). Weekly review cắt scope sớm.</t>
  </si>
  <si>
    <t>Fallback: Demo SITL nếu không kịp bay thật</t>
  </si>
  <si>
    <t>R08</t>
  </si>
  <si>
    <t>Phần cứng hư hỏng khi bay test (crash, ESC cháy...)</t>
  </si>
  <si>
    <t>Mitigation: Dry run kỹ. Bay thấp (&lt; 3m) ban đầu. Kill switch luôn sẵn sàng.</t>
  </si>
  <si>
    <t>Fallback: Có spare parts (ESC, propeller). Budget repair time vào W9.</t>
  </si>
  <si>
    <t>GĐ3-T06, GĐ4-T02</t>
  </si>
  <si>
    <t>📊 Risk Matrix Reference</t>
  </si>
  <si>
    <t>Low Impact (1)</t>
  </si>
  <si>
    <t>Medium (2)</t>
  </si>
  <si>
    <t>High (3)</t>
  </si>
  <si>
    <t>Critical (4)</t>
  </si>
  <si>
    <t>Low (1)</t>
  </si>
  <si>
    <t>📝 WEEKLY REPORT TEMPLATE</t>
  </si>
  <si>
    <t>Fill in before each Friday review meeting</t>
  </si>
  <si>
    <t>📅 WEEK 1  (24/08 — 30/08/2026)</t>
  </si>
  <si>
    <t>Review Date:</t>
  </si>
  <si>
    <t>Attendees:</t>
  </si>
  <si>
    <t>Duy, Tuân, Việt Anh</t>
  </si>
  <si>
    <t>✅ Completed This Week</t>
  </si>
  <si>
    <t>🚧 Blockers &amp; Issues</t>
  </si>
  <si>
    <t>1.</t>
  </si>
  <si>
    <t>2.</t>
  </si>
  <si>
    <t>3.</t>
  </si>
  <si>
    <t>4.</t>
  </si>
  <si>
    <t>5.</t>
  </si>
  <si>
    <t>📋 Planned for Next Week</t>
  </si>
  <si>
    <t>💡 Decisions Made</t>
  </si>
  <si>
    <t>🎯 Action Items</t>
  </si>
  <si>
    <t>Action</t>
  </si>
  <si>
    <t>Deadline</t>
  </si>
  <si>
    <t>📅 WEEK 2  (31/08 — 06/09/2026)</t>
  </si>
  <si>
    <t>📅 WEEK 3  (07/09 — 13/09/2026)</t>
  </si>
  <si>
    <t>📅 WEEK 4  (14/09 — 20/09/2026)</t>
  </si>
  <si>
    <t>📅 WEEK 5  (21/09 — 27/09/2026)</t>
  </si>
  <si>
    <t>📅 WEEK 6  (28/09 — 04/10/2026)</t>
  </si>
  <si>
    <t>📅 WEEK 7  (05/10 — 11/10/2026)</t>
  </si>
  <si>
    <t>📅 WEEK 8  (12/10 — 18/10/2026)</t>
  </si>
  <si>
    <t>📅 WEEK 9  (19/10 — 25/10/2026)</t>
  </si>
  <si>
    <t>✅ Done</t>
  </si>
  <si>
    <t>UAV giữ khoảng cách ổn định ±2m trong SITL</t>
  </si>
  <si>
    <t>Xây dựng quy luật bám mục tiêu ảo</t>
  </si>
  <si>
    <t>Xác định State Machine quản lý chế độ bay. Transition logic rõ ràng, có timeout và fallback.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</si>
</sst>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5" x14ac:knownFonts="1">
    <font>
      <sz val="11"/>
      <color theme="1"/>
      <name val="Arial"/>
      <family val="2"/>
      <scheme val="minor"/>
    </font>
    <font>
      <b/>
      <sz val="18"/>
      <color rgb="FFFFFFFF"/>
      <name val="Segoe UI"/>
    </font>
    <font>
      <sz val="12"/>
      <color rgb="FFBBDEFB"/>
      <name val="Segoe UI"/>
    </font>
    <font>
      <b/>
      <sz val="10"/>
      <color rgb="FFFFFFFF"/>
      <name val="Segoe UI Semibold"/>
    </font>
    <font>
      <b/>
      <sz val="12"/>
      <color rgb="FF0D47A1"/>
      <name val="Segoe UI"/>
    </font>
    <font>
      <b/>
      <sz val="20"/>
      <color rgb="FF0D47A1"/>
      <name val="Segoe UI"/>
    </font>
    <font>
      <b/>
      <sz val="11"/>
      <color rgb="FFFFFFFF"/>
      <name val="Segoe UI Semibold"/>
    </font>
    <font>
      <b/>
      <sz val="10"/>
      <color rgb="FF212121"/>
      <name val="Segoe UI"/>
    </font>
    <font>
      <sz val="10"/>
      <color rgb="FF212121"/>
      <name val="Segoe UI"/>
    </font>
    <font>
      <b/>
      <sz val="10"/>
      <color rgb="FF2E7D32"/>
      <name val="Segoe UI"/>
    </font>
    <font>
      <sz val="9"/>
      <color rgb="FF37474F"/>
      <name val="Segoe UI"/>
    </font>
    <font>
      <b/>
      <sz val="10"/>
      <color rgb="FFC62828"/>
      <name val="Segoe UI"/>
    </font>
    <font>
      <b/>
      <sz val="10"/>
      <color rgb="FFFF6F00"/>
      <name val="Segoe UI"/>
    </font>
    <font>
      <sz val="10"/>
      <color rgb="FF2E7D32"/>
      <name val="Segoe UI"/>
    </font>
    <font>
      <sz val="7"/>
      <color rgb="FF37474F"/>
      <name val="Segoe UI"/>
    </font>
    <font>
      <sz val="8"/>
      <color rgb="FF212121"/>
      <name val="Segoe UI"/>
    </font>
    <font>
      <b/>
      <sz val="8"/>
      <name val="Segoe UI"/>
    </font>
    <font>
      <b/>
      <sz val="8"/>
      <color rgb="FFFFFFFF"/>
      <name val="Segoe UI"/>
    </font>
    <font>
      <sz val="11"/>
      <color rgb="FF42A5F5"/>
      <name val="Arial"/>
    </font>
    <font>
      <sz val="11"/>
      <color rgb="FF66BB6A"/>
      <name val="Arial"/>
    </font>
    <font>
      <sz val="11"/>
      <color rgb="FFFFA726"/>
      <name val="Arial"/>
    </font>
    <font>
      <sz val="11"/>
      <color rgb="FFAB47BC"/>
      <name val="Arial"/>
    </font>
    <font>
      <sz val="11"/>
      <color rgb="FFFFFFFF"/>
      <name val="Arial"/>
    </font>
    <font>
      <b/>
      <sz val="11"/>
      <color rgb="FFFFFFFF"/>
      <name val="Segoe UI"/>
    </font>
    <font>
      <b/>
      <sz val="10"/>
      <color rgb="FF1B2A4A"/>
      <name val="Segoe UI"/>
    </font>
  </fonts>
  <fills count="2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1565C0"/>
      </patternFill>
    </fill>
    <fill>
      <patternFill patternType="solid">
        <fgColor rgb="FF00897B"/>
      </patternFill>
    </fill>
    <fill>
      <patternFill patternType="solid">
        <fgColor rgb="FFFFFFFF"/>
      </patternFill>
    </fill>
    <fill>
      <patternFill patternType="solid">
        <fgColor rgb="FFFF6F00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E0E0E0"/>
      </patternFill>
    </fill>
    <fill>
      <patternFill patternType="solid">
        <fgColor rgb="FF6A1B9A"/>
      </patternFill>
    </fill>
    <fill>
      <patternFill patternType="solid">
        <fgColor rgb="FF42A5F5"/>
      </patternFill>
    </fill>
    <fill>
      <patternFill patternType="solid">
        <fgColor rgb="FFF5F5F5"/>
      </patternFill>
    </fill>
    <fill>
      <patternFill patternType="solid">
        <fgColor rgb="FF66BB6A"/>
      </patternFill>
    </fill>
    <fill>
      <patternFill patternType="solid">
        <fgColor rgb="FFFFA726"/>
      </patternFill>
    </fill>
    <fill>
      <patternFill patternType="solid">
        <fgColor rgb="FFAB47BC"/>
      </patternFill>
    </fill>
    <fill>
      <patternFill patternType="solid">
        <fgColor rgb="FFC62828"/>
      </patternFill>
    </fill>
    <fill>
      <patternFill patternType="solid">
        <fgColor rgb="FFFFCDD2"/>
      </patternFill>
    </fill>
    <fill>
      <patternFill patternType="solid">
        <fgColor rgb="FFFF8F00"/>
      </patternFill>
    </fill>
    <fill>
      <patternFill patternType="solid">
        <fgColor rgb="FF37474F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9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10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9" fontId="8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16" borderId="2" xfId="0" applyFill="1" applyBorder="1"/>
    <xf numFmtId="0" fontId="0" fillId="0" borderId="2" xfId="0" applyBorder="1"/>
    <xf numFmtId="0" fontId="0" fillId="17" borderId="2" xfId="0" applyFill="1" applyBorder="1"/>
    <xf numFmtId="0" fontId="10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0" fillId="18" borderId="2" xfId="0" applyFill="1" applyBorder="1"/>
    <xf numFmtId="0" fontId="17" fillId="18" borderId="2" xfId="0" applyFont="1" applyFill="1" applyBorder="1" applyAlignment="1">
      <alignment horizontal="center" vertical="center" wrapText="1"/>
    </xf>
    <xf numFmtId="0" fontId="0" fillId="19" borderId="2" xfId="0" applyFill="1" applyBorder="1"/>
    <xf numFmtId="0" fontId="0" fillId="20" borderId="2" xfId="0" applyFill="1" applyBorder="1"/>
    <xf numFmtId="0" fontId="18" fillId="0" borderId="0" xfId="0" applyFont="1"/>
    <xf numFmtId="0" fontId="10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3" fillId="21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0" fillId="21" borderId="1" xfId="0" applyFill="1" applyBorder="1"/>
    <xf numFmtId="0" fontId="10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0" fillId="22" borderId="1" xfId="0" applyFont="1" applyFill="1" applyBorder="1" applyAlignment="1">
      <alignment horizontal="left" vertical="center" wrapText="1"/>
    </xf>
    <xf numFmtId="0" fontId="0" fillId="22" borderId="1" xfId="0" applyFill="1" applyBorder="1"/>
    <xf numFmtId="0" fontId="3" fillId="5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0" fillId="23" borderId="1" xfId="0" applyFill="1" applyBorder="1"/>
    <xf numFmtId="0" fontId="10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3" fillId="24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8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0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1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15" borderId="1" xfId="0" applyFont="1" applyFill="1" applyBorder="1" applyAlignment="1">
      <alignment horizontal="left" vertical="center" wrapText="1"/>
    </xf>
    <xf numFmtId="0" fontId="0" fillId="15" borderId="1" xfId="0" applyFill="1" applyBorder="1"/>
  </cellXfs>
  <cellStyles count="1">
    <cellStyle name="Normal" xfId="0" builtinId="0"/>
  </cellStyles>
  <dxfs count="10">
    <dxf>
      <font>
        <b/>
        <sz val="10"/>
        <color rgb="FF2E7D32"/>
        <name val="Segoe UI"/>
      </font>
      <fill>
        <patternFill patternType="solid">
          <fgColor rgb="FFC8E6C9"/>
        </patternFill>
      </fill>
    </dxf>
    <dxf>
      <font>
        <b/>
        <sz val="10"/>
        <color rgb="FFC62828"/>
        <name val="Segoe UI"/>
      </font>
      <fill>
        <patternFill patternType="solid">
          <fgColor rgb="FFFFCDD2"/>
        </patternFill>
      </fill>
    </dxf>
    <dxf>
      <font>
        <b/>
        <color rgb="FFFF8F00"/>
      </font>
      <fill>
        <patternFill patternType="solid">
          <fgColor rgb="FFFFF9C4"/>
        </patternFill>
      </fill>
    </dxf>
    <dxf>
      <font>
        <b/>
        <sz val="10"/>
        <color rgb="FFC62828"/>
        <name val="Segoe UI"/>
      </font>
      <fill>
        <patternFill patternType="solid">
          <fgColor rgb="FFFFCDD2"/>
        </patternFill>
      </fill>
    </dxf>
    <dxf>
      <font>
        <b/>
        <color rgb="FFB71C1C"/>
      </font>
      <fill>
        <patternFill patternType="solid">
          <fgColor rgb="FFFF8A80"/>
        </patternFill>
      </fill>
    </dxf>
    <dxf>
      <fill>
        <patternFill patternType="solid">
          <fgColor rgb="FFBBDEFB"/>
        </patternFill>
      </fill>
    </dxf>
    <dxf>
      <font>
        <b/>
        <sz val="10"/>
        <color rgb="FFC62828"/>
        <name val="Segoe UI"/>
      </font>
      <fill>
        <patternFill patternType="solid">
          <fgColor rgb="FFFFCDD2"/>
        </patternFill>
      </fill>
    </dxf>
    <dxf>
      <font>
        <b/>
        <sz val="10"/>
        <color rgb="FF2E7D32"/>
        <name val="Segoe UI"/>
      </font>
      <fill>
        <patternFill patternType="solid">
          <fgColor rgb="FFC8E6C9"/>
        </patternFill>
      </fill>
    </dxf>
    <dxf>
      <font>
        <b/>
        <color rgb="FFFF6F00"/>
      </font>
      <fill>
        <patternFill patternType="solid">
          <fgColor rgb="FFFFF9C4"/>
        </patternFill>
      </fill>
    </dxf>
    <dxf>
      <font>
        <b/>
        <color rgb="FFC62828"/>
      </font>
      <fill>
        <patternFill patternType="solid">
          <f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47A1"/>
    <pageSetUpPr fitToPage="1"/>
  </sheetPr>
  <dimension ref="A1:H54"/>
  <sheetViews>
    <sheetView workbookViewId="0">
      <pane xSplit="1" ySplit="4" topLeftCell="B12" activePane="bottomRight" state="frozen"/>
      <selection pane="topRight"/>
      <selection pane="bottomLeft"/>
      <selection pane="bottomRight" activeCell="B39" sqref="B39:G39"/>
    </sheetView>
  </sheetViews>
  <sheetFormatPr defaultRowHeight="13.8" x14ac:dyDescent="0.25"/>
  <cols>
    <col min="1" max="1" width="3" customWidth="1"/>
    <col min="2" max="2" width="22" customWidth="1"/>
    <col min="3" max="7" width="20" customWidth="1"/>
    <col min="8" max="8" width="3" customWidth="1"/>
  </cols>
  <sheetData>
    <row r="1" spans="1:8" x14ac:dyDescent="0.25">
      <c r="A1" s="1"/>
      <c r="B1" s="90"/>
      <c r="C1" s="90"/>
      <c r="D1" s="90"/>
      <c r="E1" s="90"/>
      <c r="F1" s="90"/>
      <c r="G1" s="90"/>
      <c r="H1" s="1"/>
    </row>
    <row r="2" spans="1:8" x14ac:dyDescent="0.25">
      <c r="A2" s="1"/>
      <c r="B2" s="91" t="s">
        <v>0</v>
      </c>
      <c r="C2" s="90"/>
      <c r="D2" s="90"/>
      <c r="E2" s="90"/>
      <c r="F2" s="90"/>
      <c r="G2" s="90"/>
      <c r="H2" s="1"/>
    </row>
    <row r="3" spans="1:8" x14ac:dyDescent="0.25">
      <c r="A3" s="1"/>
      <c r="B3" s="89" t="s">
        <v>1</v>
      </c>
      <c r="C3" s="90"/>
      <c r="D3" s="90"/>
      <c r="E3" s="90"/>
      <c r="F3" s="90"/>
      <c r="G3" s="90"/>
      <c r="H3" s="1"/>
    </row>
    <row r="4" spans="1:8" x14ac:dyDescent="0.25">
      <c r="A4" s="1"/>
      <c r="H4" s="1"/>
    </row>
    <row r="5" spans="1:8" ht="15" x14ac:dyDescent="0.25">
      <c r="A5" s="1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1"/>
    </row>
    <row r="6" spans="1:8" ht="29.4" x14ac:dyDescent="0.25">
      <c r="A6" s="1"/>
      <c r="B6" s="3" t="s">
        <v>8</v>
      </c>
      <c r="C6" s="3" t="s">
        <v>9</v>
      </c>
      <c r="D6" s="3" t="s">
        <v>10</v>
      </c>
      <c r="E6" s="4">
        <f ca="1">TODAY()</f>
        <v>46257</v>
      </c>
      <c r="F6" s="5">
        <f ca="1">MAX(0, DATE(2026,10,25)-TODAY())</f>
        <v>63</v>
      </c>
      <c r="G6" s="5" t="str">
        <f ca="1">ROUNDUP(G6/7, 0)</f>
        <v/>
      </c>
      <c r="H6" s="1"/>
    </row>
    <row r="7" spans="1:8" x14ac:dyDescent="0.25">
      <c r="A7" s="1"/>
      <c r="H7" s="1"/>
    </row>
    <row r="8" spans="1:8" x14ac:dyDescent="0.25">
      <c r="A8" s="1"/>
      <c r="B8" s="92" t="s">
        <v>11</v>
      </c>
      <c r="C8" s="93"/>
      <c r="D8" s="93"/>
      <c r="E8" s="93"/>
      <c r="F8" s="93"/>
      <c r="G8" s="93"/>
      <c r="H8" s="1"/>
    </row>
    <row r="9" spans="1:8" ht="15" x14ac:dyDescent="0.25">
      <c r="A9" s="1"/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8"/>
      <c r="H9" s="1"/>
    </row>
    <row r="10" spans="1:8" ht="19.2" x14ac:dyDescent="0.25">
      <c r="A10" s="1"/>
      <c r="B10" s="9" t="s">
        <v>17</v>
      </c>
      <c r="C10" s="10" t="s">
        <v>18</v>
      </c>
      <c r="D10" s="3">
        <f>COUNTIF(TASK_TRACKER!H:H,"*Duy*")+COUNTIF(TASK_TRACKER!H:H,"Cả nhóm")</f>
        <v>18</v>
      </c>
      <c r="E10" s="11">
        <f>COUNTIFS(TASK_TRACKER!H:H,"*Duy*",TASK_TRACKER!P:P,"✅ Done")+COUNTIFS(TASK_TRACKER!H:H,"Cả nhóm",TASK_TRACKER!P:P,"✅ Done")</f>
        <v>1</v>
      </c>
      <c r="F10" s="12">
        <f>IF(D10=0,0,E10/D10)</f>
        <v>5.5555555555555552E-2</v>
      </c>
      <c r="G10" s="13"/>
      <c r="H10" s="1"/>
    </row>
    <row r="11" spans="1:8" ht="30" x14ac:dyDescent="0.25">
      <c r="A11" s="1"/>
      <c r="B11" s="14" t="s">
        <v>19</v>
      </c>
      <c r="C11" s="15" t="s">
        <v>20</v>
      </c>
      <c r="D11" s="16">
        <f>COUNTIF(TASK_TRACKER!H:H,"*Tuân*")+COUNTIF(TASK_TRACKER!H:H,"Cả nhóm")</f>
        <v>14</v>
      </c>
      <c r="E11" s="17">
        <f>COUNTIFS(TASK_TRACKER!H:H,"*Tuân*",TASK_TRACKER!P:P,"✅ Done")+COUNTIFS(TASK_TRACKER!H:H,"Cả nhóm",TASK_TRACKER!P:P,"✅ Done")</f>
        <v>0</v>
      </c>
      <c r="F11" s="18">
        <f>IF(D11=0,0,E11/D11)</f>
        <v>0</v>
      </c>
      <c r="G11" s="19"/>
      <c r="H11" s="1"/>
    </row>
    <row r="12" spans="1:8" ht="30" x14ac:dyDescent="0.25">
      <c r="A12" s="1"/>
      <c r="B12" s="9" t="s">
        <v>21</v>
      </c>
      <c r="C12" s="10" t="s">
        <v>22</v>
      </c>
      <c r="D12" s="3">
        <f>COUNTIF(TASK_TRACKER!H:H,"*Việt Anh*")+COUNTIF(TASK_TRACKER!H:H,"Cả nhóm")</f>
        <v>14</v>
      </c>
      <c r="E12" s="11">
        <f>COUNTIFS(TASK_TRACKER!H:H,"*Việt Anh*",TASK_TRACKER!P:P,"✅ Done")+COUNTIFS(TASK_TRACKER!H:H,"Cả nhóm",TASK_TRACKER!P:P,"✅ Done")</f>
        <v>0</v>
      </c>
      <c r="F12" s="12">
        <f>IF(D12=0,0,E12/D12)</f>
        <v>0</v>
      </c>
      <c r="G12" s="13"/>
      <c r="H12" s="1"/>
    </row>
    <row r="13" spans="1:8" x14ac:dyDescent="0.25">
      <c r="A13" s="1"/>
      <c r="H13" s="1"/>
    </row>
    <row r="14" spans="1:8" x14ac:dyDescent="0.25">
      <c r="A14" s="1"/>
      <c r="B14" s="92" t="s">
        <v>23</v>
      </c>
      <c r="C14" s="93"/>
      <c r="D14" s="93"/>
      <c r="E14" s="93"/>
      <c r="F14" s="93"/>
      <c r="G14" s="93"/>
      <c r="H14" s="1"/>
    </row>
    <row r="15" spans="1:8" ht="15" x14ac:dyDescent="0.25">
      <c r="A15" s="1"/>
      <c r="B15" s="7" t="s">
        <v>24</v>
      </c>
      <c r="C15" s="7" t="s">
        <v>25</v>
      </c>
      <c r="D15" s="7" t="s">
        <v>26</v>
      </c>
      <c r="E15" s="7" t="s">
        <v>27</v>
      </c>
      <c r="F15" s="7" t="s">
        <v>28</v>
      </c>
      <c r="G15" s="8"/>
      <c r="H15" s="1"/>
    </row>
    <row r="16" spans="1:8" ht="30" x14ac:dyDescent="0.25">
      <c r="A16" s="1"/>
      <c r="B16" s="20" t="s">
        <v>29</v>
      </c>
      <c r="C16" s="21">
        <v>46264</v>
      </c>
      <c r="D16" s="3">
        <f t="shared" ref="D16:D22" ca="1" si="0">MAX(0, C16-TODAY())</f>
        <v>7</v>
      </c>
      <c r="E16" s="22" t="s">
        <v>30</v>
      </c>
      <c r="F16" s="10" t="s">
        <v>31</v>
      </c>
      <c r="G16" s="13"/>
      <c r="H16" s="1"/>
    </row>
    <row r="17" spans="1:8" ht="30" x14ac:dyDescent="0.25">
      <c r="A17" s="1"/>
      <c r="B17" s="23" t="s">
        <v>32</v>
      </c>
      <c r="C17" s="24">
        <v>46271</v>
      </c>
      <c r="D17" s="16">
        <f t="shared" ca="1" si="0"/>
        <v>14</v>
      </c>
      <c r="E17" s="25" t="s">
        <v>33</v>
      </c>
      <c r="F17" s="15" t="s">
        <v>31</v>
      </c>
      <c r="G17" s="19"/>
      <c r="H17" s="1"/>
    </row>
    <row r="18" spans="1:8" ht="30" x14ac:dyDescent="0.25">
      <c r="A18" s="1"/>
      <c r="B18" s="20" t="s">
        <v>34</v>
      </c>
      <c r="C18" s="21">
        <v>46285</v>
      </c>
      <c r="D18" s="3">
        <f t="shared" ca="1" si="0"/>
        <v>28</v>
      </c>
      <c r="E18" s="22" t="s">
        <v>35</v>
      </c>
      <c r="F18" s="10" t="s">
        <v>31</v>
      </c>
      <c r="G18" s="13"/>
      <c r="H18" s="1"/>
    </row>
    <row r="19" spans="1:8" ht="19.2" x14ac:dyDescent="0.25">
      <c r="A19" s="1"/>
      <c r="B19" s="23" t="s">
        <v>36</v>
      </c>
      <c r="C19" s="24">
        <v>46292</v>
      </c>
      <c r="D19" s="16">
        <f t="shared" ca="1" si="0"/>
        <v>35</v>
      </c>
      <c r="E19" s="25" t="s">
        <v>37</v>
      </c>
      <c r="F19" s="15" t="s">
        <v>31</v>
      </c>
      <c r="G19" s="19"/>
      <c r="H19" s="1"/>
    </row>
    <row r="20" spans="1:8" ht="19.2" x14ac:dyDescent="0.25">
      <c r="A20" s="1"/>
      <c r="B20" s="20" t="s">
        <v>38</v>
      </c>
      <c r="C20" s="21">
        <v>46299</v>
      </c>
      <c r="D20" s="3">
        <f t="shared" ca="1" si="0"/>
        <v>42</v>
      </c>
      <c r="E20" s="22" t="s">
        <v>39</v>
      </c>
      <c r="F20" s="10" t="s">
        <v>31</v>
      </c>
      <c r="G20" s="13"/>
      <c r="H20" s="1"/>
    </row>
    <row r="21" spans="1:8" ht="30" x14ac:dyDescent="0.25">
      <c r="A21" s="1"/>
      <c r="B21" s="23" t="s">
        <v>40</v>
      </c>
      <c r="C21" s="24">
        <v>46306</v>
      </c>
      <c r="D21" s="16">
        <f t="shared" ca="1" si="0"/>
        <v>49</v>
      </c>
      <c r="E21" s="25" t="s">
        <v>41</v>
      </c>
      <c r="F21" s="15" t="s">
        <v>31</v>
      </c>
      <c r="G21" s="19"/>
      <c r="H21" s="1"/>
    </row>
    <row r="22" spans="1:8" ht="19.2" x14ac:dyDescent="0.25">
      <c r="A22" s="1"/>
      <c r="B22" s="20" t="s">
        <v>42</v>
      </c>
      <c r="C22" s="21">
        <v>46320</v>
      </c>
      <c r="D22" s="3">
        <f t="shared" ca="1" si="0"/>
        <v>63</v>
      </c>
      <c r="E22" s="22" t="s">
        <v>43</v>
      </c>
      <c r="F22" s="10" t="s">
        <v>31</v>
      </c>
      <c r="G22" s="13"/>
      <c r="H22" s="1"/>
    </row>
    <row r="23" spans="1:8" x14ac:dyDescent="0.25">
      <c r="A23" s="1"/>
      <c r="H23" s="1"/>
    </row>
    <row r="24" spans="1:8" x14ac:dyDescent="0.25">
      <c r="A24" s="1"/>
      <c r="B24" s="92" t="s">
        <v>44</v>
      </c>
      <c r="C24" s="93"/>
      <c r="D24" s="93"/>
      <c r="E24" s="93"/>
      <c r="F24" s="93"/>
      <c r="G24" s="93"/>
      <c r="H24" s="1"/>
    </row>
    <row r="25" spans="1:8" ht="15" x14ac:dyDescent="0.25">
      <c r="A25" s="1"/>
      <c r="B25" s="7" t="s">
        <v>45</v>
      </c>
      <c r="C25" s="7" t="s">
        <v>46</v>
      </c>
      <c r="D25" s="7" t="s">
        <v>47</v>
      </c>
      <c r="E25" s="7" t="s">
        <v>48</v>
      </c>
      <c r="F25" s="7" t="s">
        <v>49</v>
      </c>
      <c r="G25" s="8"/>
      <c r="H25" s="1"/>
    </row>
    <row r="26" spans="1:8" ht="29.4" x14ac:dyDescent="0.25">
      <c r="A26" s="1"/>
      <c r="B26" s="5">
        <f>COUNTA(TASK_TRACKER!B4:B100)</f>
        <v>32</v>
      </c>
      <c r="C26" s="11">
        <f>COUNTIF(TASK_TRACKER!P4:P100,"✅ Done")</f>
        <v>1</v>
      </c>
      <c r="D26" s="3">
        <f>COUNTIF(TASK_TRACKER!P4:P100,"🔵 In Progress")</f>
        <v>0</v>
      </c>
      <c r="E26" s="26">
        <f>COUNTIF(TASK_TRACKER!P4:P100,"🔴 Blocked")</f>
        <v>0</v>
      </c>
      <c r="F26" s="27">
        <f>IF(B26=0,0,C26/B26)</f>
        <v>3.125E-2</v>
      </c>
      <c r="G26" s="13"/>
      <c r="H26" s="1"/>
    </row>
    <row r="27" spans="1:8" x14ac:dyDescent="0.25">
      <c r="A27" s="1"/>
      <c r="H27" s="1"/>
    </row>
    <row r="28" spans="1:8" x14ac:dyDescent="0.25">
      <c r="A28" s="1"/>
      <c r="B28" s="92" t="s">
        <v>50</v>
      </c>
      <c r="C28" s="93"/>
      <c r="D28" s="93"/>
      <c r="E28" s="93"/>
      <c r="F28" s="93"/>
      <c r="G28" s="93"/>
      <c r="H28" s="1"/>
    </row>
    <row r="29" spans="1:8" ht="15" x14ac:dyDescent="0.25">
      <c r="A29" s="1"/>
      <c r="B29" s="7" t="s">
        <v>51</v>
      </c>
      <c r="C29" s="7" t="s">
        <v>45</v>
      </c>
      <c r="D29" s="7" t="s">
        <v>52</v>
      </c>
      <c r="E29" s="7" t="s">
        <v>53</v>
      </c>
      <c r="F29" s="7" t="s">
        <v>54</v>
      </c>
      <c r="G29" s="8"/>
      <c r="H29" s="1"/>
    </row>
    <row r="30" spans="1:8" ht="19.2" x14ac:dyDescent="0.25">
      <c r="A30" s="1"/>
      <c r="B30" s="20" t="s">
        <v>55</v>
      </c>
      <c r="C30" s="3">
        <f>COUNTIF(TASK_TRACKER!C4:C100,"GĐ1*")</f>
        <v>8</v>
      </c>
      <c r="D30" s="11">
        <f>COUNTIFS(TASK_TRACKER!C4:C100,"GĐ1*",TASK_TRACKER!P4:P100,"✅ Done")</f>
        <v>1</v>
      </c>
      <c r="E30" s="12">
        <f>IF(C30=0,0,D30/C30)</f>
        <v>0.125</v>
      </c>
      <c r="F30" s="10" t="s">
        <v>56</v>
      </c>
      <c r="G30" s="13"/>
      <c r="H30" s="1"/>
    </row>
    <row r="31" spans="1:8" ht="19.2" x14ac:dyDescent="0.25">
      <c r="A31" s="1"/>
      <c r="B31" s="23" t="s">
        <v>57</v>
      </c>
      <c r="C31" s="16">
        <f>COUNTIF(TASK_TRACKER!C4:C100,"GĐ2*")</f>
        <v>8</v>
      </c>
      <c r="D31" s="17">
        <f>COUNTIFS(TASK_TRACKER!C4:C100,"GĐ2*",TASK_TRACKER!P4:P100,"✅ Done")</f>
        <v>0</v>
      </c>
      <c r="E31" s="18">
        <f>IF(C31=0,0,D31/C31)</f>
        <v>0</v>
      </c>
      <c r="F31" s="15" t="s">
        <v>58</v>
      </c>
      <c r="G31" s="19"/>
      <c r="H31" s="1"/>
    </row>
    <row r="32" spans="1:8" ht="30" x14ac:dyDescent="0.25">
      <c r="A32" s="1"/>
      <c r="B32" s="20" t="s">
        <v>59</v>
      </c>
      <c r="C32" s="3">
        <f>COUNTIF(TASK_TRACKER!C4:C100,"GĐ3*")</f>
        <v>8</v>
      </c>
      <c r="D32" s="11">
        <f>COUNTIFS(TASK_TRACKER!C4:C100,"GĐ3*",TASK_TRACKER!P4:P100,"✅ Done")</f>
        <v>0</v>
      </c>
      <c r="E32" s="12">
        <f>IF(C32=0,0,D32/C32)</f>
        <v>0</v>
      </c>
      <c r="F32" s="10" t="s">
        <v>60</v>
      </c>
      <c r="G32" s="13"/>
      <c r="H32" s="1"/>
    </row>
    <row r="33" spans="1:8" ht="30" x14ac:dyDescent="0.25">
      <c r="A33" s="1"/>
      <c r="B33" s="23" t="s">
        <v>61</v>
      </c>
      <c r="C33" s="16">
        <f>COUNTIF(TASK_TRACKER!C4:C100,"GĐ4*")</f>
        <v>8</v>
      </c>
      <c r="D33" s="17">
        <f>COUNTIFS(TASK_TRACKER!C4:C100,"GĐ4*",TASK_TRACKER!P4:P100,"✅ Done")</f>
        <v>0</v>
      </c>
      <c r="E33" s="18">
        <f>IF(C33=0,0,D33/C33)</f>
        <v>0</v>
      </c>
      <c r="F33" s="15" t="s">
        <v>62</v>
      </c>
      <c r="G33" s="19"/>
      <c r="H33" s="1"/>
    </row>
    <row r="34" spans="1:8" x14ac:dyDescent="0.25">
      <c r="A34" s="1"/>
      <c r="H34" s="1"/>
    </row>
    <row r="35" spans="1:8" x14ac:dyDescent="0.25">
      <c r="A35" s="1"/>
      <c r="B35" s="97" t="s">
        <v>63</v>
      </c>
      <c r="C35" s="98"/>
      <c r="D35" s="98"/>
      <c r="E35" s="98"/>
      <c r="F35" s="98"/>
      <c r="G35" s="98"/>
      <c r="H35" s="1"/>
    </row>
    <row r="36" spans="1:8" x14ac:dyDescent="0.25">
      <c r="A36" s="1"/>
      <c r="B36" s="94" t="s">
        <v>64</v>
      </c>
      <c r="C36" s="95"/>
      <c r="D36" s="95"/>
      <c r="E36" s="95"/>
      <c r="F36" s="95"/>
      <c r="G36" s="95"/>
      <c r="H36" s="1"/>
    </row>
    <row r="37" spans="1:8" ht="15" x14ac:dyDescent="0.25">
      <c r="A37" s="1"/>
      <c r="B37" s="94"/>
      <c r="C37" s="95"/>
      <c r="D37" s="95"/>
      <c r="E37" s="95"/>
      <c r="F37" s="95"/>
      <c r="G37" s="95"/>
      <c r="H37" s="1"/>
    </row>
    <row r="38" spans="1:8" ht="15" x14ac:dyDescent="0.25">
      <c r="A38" s="1"/>
      <c r="B38" s="94"/>
      <c r="C38" s="95"/>
      <c r="D38" s="95"/>
      <c r="E38" s="95"/>
      <c r="F38" s="95"/>
      <c r="G38" s="95"/>
      <c r="H38" s="1"/>
    </row>
    <row r="39" spans="1:8" x14ac:dyDescent="0.25">
      <c r="A39" s="1"/>
      <c r="B39" s="94" t="s">
        <v>65</v>
      </c>
      <c r="C39" s="95"/>
      <c r="D39" s="95"/>
      <c r="E39" s="95"/>
      <c r="F39" s="95"/>
      <c r="G39" s="95"/>
      <c r="H39" s="1"/>
    </row>
    <row r="40" spans="1:8" x14ac:dyDescent="0.25">
      <c r="A40" s="1"/>
      <c r="B40" s="94" t="str">
        <f>COUNTIF(TASK_TRACKER!P4:P100,"🔴 Blocked") &amp; " task(s) blocked"</f>
        <v>0 task(s) blocked</v>
      </c>
      <c r="C40" s="95"/>
      <c r="D40" s="95"/>
      <c r="E40" s="95"/>
      <c r="F40" s="95"/>
      <c r="G40" s="95"/>
      <c r="H40" s="1"/>
    </row>
    <row r="41" spans="1:8" ht="15" x14ac:dyDescent="0.25">
      <c r="A41" s="1"/>
      <c r="B41" s="94"/>
      <c r="C41" s="95"/>
      <c r="D41" s="95"/>
      <c r="E41" s="95"/>
      <c r="F41" s="95"/>
      <c r="G41" s="95"/>
      <c r="H41" s="1"/>
    </row>
    <row r="42" spans="1:8" x14ac:dyDescent="0.25">
      <c r="A42" s="1"/>
      <c r="B42" s="96" t="s">
        <v>66</v>
      </c>
      <c r="C42" s="95"/>
      <c r="D42" s="95"/>
      <c r="E42" s="95"/>
      <c r="F42" s="95"/>
      <c r="G42" s="95"/>
      <c r="H42" s="1"/>
    </row>
    <row r="43" spans="1:8" x14ac:dyDescent="0.25">
      <c r="A43" s="1"/>
      <c r="H43" s="1"/>
    </row>
    <row r="44" spans="1:8" x14ac:dyDescent="0.25">
      <c r="A44" s="1"/>
      <c r="H44" s="1"/>
    </row>
    <row r="45" spans="1:8" x14ac:dyDescent="0.25">
      <c r="A45" s="1"/>
      <c r="H45" s="1"/>
    </row>
    <row r="46" spans="1:8" x14ac:dyDescent="0.25">
      <c r="A46" s="1"/>
      <c r="H46" s="1"/>
    </row>
    <row r="47" spans="1:8" x14ac:dyDescent="0.25">
      <c r="A47" s="1"/>
      <c r="H47" s="1"/>
    </row>
    <row r="48" spans="1:8" x14ac:dyDescent="0.25">
      <c r="A48" s="1"/>
      <c r="H48" s="1"/>
    </row>
    <row r="49" spans="1:8" x14ac:dyDescent="0.25">
      <c r="A49" s="1"/>
      <c r="H49" s="1"/>
    </row>
    <row r="50" spans="1:8" x14ac:dyDescent="0.25">
      <c r="A50" s="1"/>
      <c r="H50" s="1"/>
    </row>
    <row r="51" spans="1:8" x14ac:dyDescent="0.25">
      <c r="A51" s="1"/>
      <c r="H51" s="1"/>
    </row>
    <row r="52" spans="1:8" x14ac:dyDescent="0.25">
      <c r="A52" s="1"/>
      <c r="H52" s="1"/>
    </row>
    <row r="53" spans="1:8" x14ac:dyDescent="0.25">
      <c r="A53" s="1"/>
      <c r="H53" s="1"/>
    </row>
    <row r="54" spans="1:8" x14ac:dyDescent="0.25">
      <c r="A54" s="1"/>
      <c r="H54" s="1"/>
    </row>
  </sheetData>
  <mergeCells count="15">
    <mergeCell ref="B1:G1"/>
    <mergeCell ref="B8:G8"/>
    <mergeCell ref="B35:G35"/>
    <mergeCell ref="B40:G40"/>
    <mergeCell ref="B39:G39"/>
    <mergeCell ref="B42:G42"/>
    <mergeCell ref="B36:G36"/>
    <mergeCell ref="B14:G14"/>
    <mergeCell ref="B37:G37"/>
    <mergeCell ref="B41:G41"/>
    <mergeCell ref="B3:G3"/>
    <mergeCell ref="B2:G2"/>
    <mergeCell ref="B24:G24"/>
    <mergeCell ref="B38:G38"/>
    <mergeCell ref="B28:G28"/>
  </mergeCells>
  <conditionalFormatting sqref="D16:D22">
    <cfRule type="cellIs" dxfId="9" priority="1" operator="lessThanOrEqual">
      <formula>3</formula>
    </cfRule>
    <cfRule type="cellIs" dxfId="8" priority="2" operator="between">
      <formula>4</formula>
      <formula>7</formula>
    </cfRule>
  </conditionalFormatting>
  <conditionalFormatting sqref="E30:E33">
    <cfRule type="dataBar" priority="3">
      <dataBar>
        <cfvo type="num" val="0"/>
        <cfvo type="num" val="1"/>
        <color rgb="FF2E7D32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97B"/>
  </sheetPr>
  <dimension ref="A1:V35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F5" sqref="F5"/>
    </sheetView>
  </sheetViews>
  <sheetFormatPr defaultRowHeight="13.8" x14ac:dyDescent="0.25"/>
  <cols>
    <col min="1" max="1" width="5" customWidth="1"/>
    <col min="2" max="2" width="10" customWidth="1"/>
    <col min="3" max="3" width="22" customWidth="1"/>
    <col min="4" max="4" width="6" customWidth="1"/>
    <col min="5" max="5" width="8" customWidth="1"/>
    <col min="6" max="6" width="35" customWidth="1"/>
    <col min="7" max="7" width="45" customWidth="1"/>
    <col min="8" max="10" width="12" customWidth="1"/>
    <col min="11" max="11" width="14" customWidth="1"/>
    <col min="12" max="15" width="13" customWidth="1"/>
    <col min="16" max="16" width="15" customWidth="1"/>
    <col min="17" max="18" width="10" customWidth="1"/>
    <col min="19" max="19" width="8" customWidth="1"/>
    <col min="20" max="20" width="25" customWidth="1"/>
    <col min="21" max="22" width="30" customWidth="1"/>
  </cols>
  <sheetData>
    <row r="1" spans="1:22" x14ac:dyDescent="0.25">
      <c r="A1" s="91" t="s">
        <v>67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x14ac:dyDescent="0.25">
      <c r="A2" s="89" t="s">
        <v>68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</row>
    <row r="3" spans="1:22" ht="30" x14ac:dyDescent="0.2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28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</row>
    <row r="4" spans="1:22" ht="40.049999999999997" customHeight="1" x14ac:dyDescent="0.25">
      <c r="A4" s="10">
        <v>1</v>
      </c>
      <c r="B4" s="10" t="s">
        <v>90</v>
      </c>
      <c r="C4" s="30" t="s">
        <v>55</v>
      </c>
      <c r="D4" s="10" t="s">
        <v>91</v>
      </c>
      <c r="E4" s="10" t="s">
        <v>92</v>
      </c>
      <c r="F4" s="20" t="s">
        <v>93</v>
      </c>
      <c r="G4" s="31" t="s">
        <v>94</v>
      </c>
      <c r="H4" s="10" t="s">
        <v>19</v>
      </c>
      <c r="I4" s="10" t="s">
        <v>17</v>
      </c>
      <c r="J4" s="26" t="s">
        <v>95</v>
      </c>
      <c r="K4" s="10" t="s">
        <v>96</v>
      </c>
      <c r="L4" s="21">
        <v>46258</v>
      </c>
      <c r="M4" s="21">
        <v>46261</v>
      </c>
      <c r="N4" s="21"/>
      <c r="O4" s="21"/>
      <c r="P4" s="10" t="s">
        <v>97</v>
      </c>
      <c r="Q4" s="32">
        <v>0</v>
      </c>
      <c r="R4" s="9">
        <f t="shared" ref="R4:R35" ca="1" si="0">IF(P4="✅ Done","—",MAX(0,M4-TODAY()))</f>
        <v>4</v>
      </c>
      <c r="S4" s="10">
        <v>16</v>
      </c>
      <c r="T4" s="33" t="s">
        <v>98</v>
      </c>
      <c r="U4" s="33" t="s">
        <v>99</v>
      </c>
      <c r="V4" s="33"/>
    </row>
    <row r="5" spans="1:22" ht="40.049999999999997" customHeight="1" x14ac:dyDescent="0.25">
      <c r="A5" s="15">
        <v>2</v>
      </c>
      <c r="B5" s="15" t="s">
        <v>100</v>
      </c>
      <c r="C5" s="30" t="s">
        <v>55</v>
      </c>
      <c r="D5" s="15" t="s">
        <v>91</v>
      </c>
      <c r="E5" s="15" t="s">
        <v>101</v>
      </c>
      <c r="F5" s="23" t="s">
        <v>102</v>
      </c>
      <c r="G5" s="34" t="s">
        <v>103</v>
      </c>
      <c r="H5" s="15" t="s">
        <v>19</v>
      </c>
      <c r="I5" s="15" t="s">
        <v>17</v>
      </c>
      <c r="J5" s="35" t="s">
        <v>95</v>
      </c>
      <c r="K5" s="15" t="s">
        <v>90</v>
      </c>
      <c r="L5" s="24">
        <v>46260</v>
      </c>
      <c r="M5" s="24">
        <v>46264</v>
      </c>
      <c r="N5" s="24"/>
      <c r="O5" s="24"/>
      <c r="P5" s="15" t="s">
        <v>97</v>
      </c>
      <c r="Q5" s="36">
        <v>0</v>
      </c>
      <c r="R5" s="14">
        <f t="shared" ca="1" si="0"/>
        <v>7</v>
      </c>
      <c r="S5" s="15">
        <v>20</v>
      </c>
      <c r="T5" s="37" t="s">
        <v>104</v>
      </c>
      <c r="U5" s="37" t="s">
        <v>105</v>
      </c>
      <c r="V5" s="37"/>
    </row>
    <row r="6" spans="1:22" ht="40.049999999999997" customHeight="1" x14ac:dyDescent="0.25">
      <c r="A6" s="10">
        <v>3</v>
      </c>
      <c r="B6" s="10" t="s">
        <v>106</v>
      </c>
      <c r="C6" s="30" t="s">
        <v>55</v>
      </c>
      <c r="D6" s="10" t="s">
        <v>91</v>
      </c>
      <c r="E6" s="10" t="s">
        <v>107</v>
      </c>
      <c r="F6" s="20" t="s">
        <v>108</v>
      </c>
      <c r="G6" s="31" t="s">
        <v>109</v>
      </c>
      <c r="H6" s="10" t="s">
        <v>17</v>
      </c>
      <c r="I6" s="10" t="s">
        <v>19</v>
      </c>
      <c r="J6" s="38" t="s">
        <v>110</v>
      </c>
      <c r="K6" s="10" t="s">
        <v>96</v>
      </c>
      <c r="L6" s="21">
        <v>46258</v>
      </c>
      <c r="M6" s="21">
        <v>46262</v>
      </c>
      <c r="N6" s="21"/>
      <c r="O6" s="21"/>
      <c r="P6" s="10" t="s">
        <v>97</v>
      </c>
      <c r="Q6" s="32">
        <v>0</v>
      </c>
      <c r="R6" s="9">
        <f t="shared" ca="1" si="0"/>
        <v>5</v>
      </c>
      <c r="S6" s="10">
        <v>12</v>
      </c>
      <c r="T6" s="33" t="s">
        <v>111</v>
      </c>
      <c r="U6" s="33" t="s">
        <v>112</v>
      </c>
      <c r="V6" s="33"/>
    </row>
    <row r="7" spans="1:22" ht="40.049999999999997" customHeight="1" x14ac:dyDescent="0.25">
      <c r="A7" s="15">
        <v>4</v>
      </c>
      <c r="B7" s="15" t="s">
        <v>113</v>
      </c>
      <c r="C7" s="30" t="s">
        <v>55</v>
      </c>
      <c r="D7" s="15" t="s">
        <v>91</v>
      </c>
      <c r="E7" s="15" t="s">
        <v>92</v>
      </c>
      <c r="F7" s="23" t="s">
        <v>114</v>
      </c>
      <c r="G7" s="34" t="s">
        <v>115</v>
      </c>
      <c r="H7" s="15" t="s">
        <v>17</v>
      </c>
      <c r="I7" s="15" t="s">
        <v>19</v>
      </c>
      <c r="J7" s="35" t="s">
        <v>95</v>
      </c>
      <c r="K7" s="15" t="s">
        <v>96</v>
      </c>
      <c r="L7" s="24">
        <v>46258</v>
      </c>
      <c r="M7" s="24">
        <v>46261</v>
      </c>
      <c r="N7" s="24"/>
      <c r="O7" s="24"/>
      <c r="P7" s="15" t="s">
        <v>379</v>
      </c>
      <c r="Q7" s="36">
        <v>0</v>
      </c>
      <c r="R7" s="14" t="str">
        <f t="shared" ca="1" si="0"/>
        <v>—</v>
      </c>
      <c r="S7" s="15">
        <v>10</v>
      </c>
      <c r="T7" s="37" t="s">
        <v>116</v>
      </c>
      <c r="U7" s="37" t="s">
        <v>117</v>
      </c>
      <c r="V7" s="37"/>
    </row>
    <row r="8" spans="1:22" ht="40.049999999999997" customHeight="1" x14ac:dyDescent="0.25">
      <c r="A8" s="10">
        <v>5</v>
      </c>
      <c r="B8" s="10" t="s">
        <v>118</v>
      </c>
      <c r="C8" s="30" t="s">
        <v>55</v>
      </c>
      <c r="D8" s="10" t="s">
        <v>119</v>
      </c>
      <c r="E8" s="10" t="s">
        <v>101</v>
      </c>
      <c r="F8" s="20" t="s">
        <v>120</v>
      </c>
      <c r="G8" s="31" t="s">
        <v>121</v>
      </c>
      <c r="H8" s="10" t="s">
        <v>19</v>
      </c>
      <c r="I8" s="10" t="s">
        <v>17</v>
      </c>
      <c r="J8" s="38" t="s">
        <v>110</v>
      </c>
      <c r="K8" s="10" t="s">
        <v>100</v>
      </c>
      <c r="L8" s="21">
        <v>46265</v>
      </c>
      <c r="M8" s="21">
        <v>46268</v>
      </c>
      <c r="N8" s="21"/>
      <c r="O8" s="21"/>
      <c r="P8" s="10" t="s">
        <v>97</v>
      </c>
      <c r="Q8" s="32">
        <v>0</v>
      </c>
      <c r="R8" s="9">
        <f t="shared" ca="1" si="0"/>
        <v>11</v>
      </c>
      <c r="S8" s="10">
        <v>14</v>
      </c>
      <c r="T8" s="33" t="s">
        <v>122</v>
      </c>
      <c r="U8" s="33" t="s">
        <v>123</v>
      </c>
      <c r="V8" s="33"/>
    </row>
    <row r="9" spans="1:22" ht="40.049999999999997" customHeight="1" x14ac:dyDescent="0.25">
      <c r="A9" s="15">
        <v>6</v>
      </c>
      <c r="B9" s="15" t="s">
        <v>124</v>
      </c>
      <c r="C9" s="30" t="s">
        <v>55</v>
      </c>
      <c r="D9" s="15" t="s">
        <v>119</v>
      </c>
      <c r="E9" s="15" t="s">
        <v>125</v>
      </c>
      <c r="F9" s="23" t="s">
        <v>126</v>
      </c>
      <c r="G9" s="34" t="s">
        <v>127</v>
      </c>
      <c r="H9" s="15" t="s">
        <v>17</v>
      </c>
      <c r="I9" s="15" t="s">
        <v>21</v>
      </c>
      <c r="J9" s="35" t="s">
        <v>95</v>
      </c>
      <c r="K9" s="15" t="s">
        <v>106</v>
      </c>
      <c r="L9" s="24">
        <v>46265</v>
      </c>
      <c r="M9" s="24">
        <v>46270</v>
      </c>
      <c r="N9" s="24"/>
      <c r="O9" s="24"/>
      <c r="P9" s="15" t="s">
        <v>97</v>
      </c>
      <c r="Q9" s="36">
        <v>0</v>
      </c>
      <c r="R9" s="14">
        <f t="shared" ca="1" si="0"/>
        <v>13</v>
      </c>
      <c r="S9" s="15">
        <v>18</v>
      </c>
      <c r="T9" s="37" t="s">
        <v>128</v>
      </c>
      <c r="U9" s="37" t="s">
        <v>129</v>
      </c>
      <c r="V9" s="37"/>
    </row>
    <row r="10" spans="1:22" ht="40.049999999999997" customHeight="1" x14ac:dyDescent="0.25">
      <c r="A10" s="10">
        <v>7</v>
      </c>
      <c r="B10" s="10" t="s">
        <v>130</v>
      </c>
      <c r="C10" s="30" t="s">
        <v>55</v>
      </c>
      <c r="D10" s="10" t="s">
        <v>91</v>
      </c>
      <c r="E10" s="10" t="s">
        <v>131</v>
      </c>
      <c r="F10" s="20" t="s">
        <v>132</v>
      </c>
      <c r="G10" s="31" t="s">
        <v>133</v>
      </c>
      <c r="H10" s="10" t="s">
        <v>21</v>
      </c>
      <c r="I10" s="10" t="s">
        <v>17</v>
      </c>
      <c r="J10" s="26" t="s">
        <v>95</v>
      </c>
      <c r="K10" s="10" t="s">
        <v>113</v>
      </c>
      <c r="L10" s="21">
        <v>46265</v>
      </c>
      <c r="M10" s="21">
        <v>46270</v>
      </c>
      <c r="N10" s="21"/>
      <c r="O10" s="21"/>
      <c r="P10" s="10" t="s">
        <v>97</v>
      </c>
      <c r="Q10" s="32">
        <v>0</v>
      </c>
      <c r="R10" s="9">
        <f t="shared" ca="1" si="0"/>
        <v>13</v>
      </c>
      <c r="S10" s="10">
        <v>16</v>
      </c>
      <c r="T10" s="33" t="s">
        <v>134</v>
      </c>
      <c r="U10" s="33" t="s">
        <v>135</v>
      </c>
      <c r="V10" s="33"/>
    </row>
    <row r="11" spans="1:22" ht="40.049999999999997" customHeight="1" x14ac:dyDescent="0.25">
      <c r="A11" s="15">
        <v>8</v>
      </c>
      <c r="B11" s="15" t="s">
        <v>136</v>
      </c>
      <c r="C11" s="30" t="s">
        <v>55</v>
      </c>
      <c r="D11" s="15" t="s">
        <v>119</v>
      </c>
      <c r="E11" s="15" t="s">
        <v>92</v>
      </c>
      <c r="F11" s="23" t="s">
        <v>137</v>
      </c>
      <c r="G11" s="34" t="s">
        <v>138</v>
      </c>
      <c r="H11" s="15" t="s">
        <v>139</v>
      </c>
      <c r="I11" s="15" t="s">
        <v>96</v>
      </c>
      <c r="J11" s="39" t="s">
        <v>110</v>
      </c>
      <c r="K11" s="15" t="s">
        <v>113</v>
      </c>
      <c r="L11" s="24">
        <v>46267</v>
      </c>
      <c r="M11" s="24">
        <v>46268</v>
      </c>
      <c r="N11" s="24"/>
      <c r="O11" s="24"/>
      <c r="P11" s="15" t="s">
        <v>97</v>
      </c>
      <c r="Q11" s="36">
        <v>0</v>
      </c>
      <c r="R11" s="14">
        <f t="shared" ca="1" si="0"/>
        <v>11</v>
      </c>
      <c r="S11" s="15">
        <v>6</v>
      </c>
      <c r="T11" s="37" t="s">
        <v>140</v>
      </c>
      <c r="U11" s="37" t="s">
        <v>141</v>
      </c>
      <c r="V11" s="37"/>
    </row>
    <row r="12" spans="1:22" ht="40.049999999999997" customHeight="1" x14ac:dyDescent="0.25">
      <c r="A12" s="10">
        <v>9</v>
      </c>
      <c r="B12" s="10" t="s">
        <v>142</v>
      </c>
      <c r="C12" s="40" t="s">
        <v>57</v>
      </c>
      <c r="D12" s="10" t="s">
        <v>143</v>
      </c>
      <c r="E12" s="10" t="s">
        <v>144</v>
      </c>
      <c r="F12" s="20" t="s">
        <v>145</v>
      </c>
      <c r="G12" s="31" t="s">
        <v>146</v>
      </c>
      <c r="H12" s="10" t="s">
        <v>17</v>
      </c>
      <c r="I12" s="10" t="s">
        <v>19</v>
      </c>
      <c r="J12" s="26" t="s">
        <v>95</v>
      </c>
      <c r="K12" s="10" t="s">
        <v>124</v>
      </c>
      <c r="L12" s="21">
        <v>46272</v>
      </c>
      <c r="M12" s="21">
        <v>46276</v>
      </c>
      <c r="N12" s="21"/>
      <c r="O12" s="21"/>
      <c r="P12" s="10" t="s">
        <v>97</v>
      </c>
      <c r="Q12" s="32">
        <v>0</v>
      </c>
      <c r="R12" s="9">
        <f t="shared" ca="1" si="0"/>
        <v>19</v>
      </c>
      <c r="S12" s="10">
        <v>18</v>
      </c>
      <c r="T12" s="33" t="s">
        <v>147</v>
      </c>
      <c r="U12" s="33" t="s">
        <v>148</v>
      </c>
      <c r="V12" s="33"/>
    </row>
    <row r="13" spans="1:22" ht="40.049999999999997" customHeight="1" x14ac:dyDescent="0.25">
      <c r="A13" s="15">
        <v>10</v>
      </c>
      <c r="B13" s="15" t="s">
        <v>149</v>
      </c>
      <c r="C13" s="40" t="s">
        <v>57</v>
      </c>
      <c r="D13" s="15" t="s">
        <v>143</v>
      </c>
      <c r="E13" s="15" t="s">
        <v>150</v>
      </c>
      <c r="F13" s="23" t="s">
        <v>151</v>
      </c>
      <c r="G13" s="34" t="s">
        <v>152</v>
      </c>
      <c r="H13" s="15" t="s">
        <v>17</v>
      </c>
      <c r="I13" s="15" t="s">
        <v>19</v>
      </c>
      <c r="J13" s="39" t="s">
        <v>110</v>
      </c>
      <c r="K13" s="15" t="s">
        <v>142</v>
      </c>
      <c r="L13" s="24">
        <v>46275</v>
      </c>
      <c r="M13" s="24">
        <v>46278</v>
      </c>
      <c r="N13" s="24"/>
      <c r="O13" s="24"/>
      <c r="P13" s="15" t="s">
        <v>97</v>
      </c>
      <c r="Q13" s="36">
        <v>0</v>
      </c>
      <c r="R13" s="14">
        <f t="shared" ca="1" si="0"/>
        <v>21</v>
      </c>
      <c r="S13" s="15">
        <v>10</v>
      </c>
      <c r="T13" s="37" t="s">
        <v>153</v>
      </c>
      <c r="U13" s="37" t="s">
        <v>154</v>
      </c>
      <c r="V13" s="37"/>
    </row>
    <row r="14" spans="1:22" ht="40.049999999999997" customHeight="1" x14ac:dyDescent="0.25">
      <c r="A14" s="10">
        <v>11</v>
      </c>
      <c r="B14" s="10" t="s">
        <v>155</v>
      </c>
      <c r="C14" s="40" t="s">
        <v>57</v>
      </c>
      <c r="D14" s="10" t="s">
        <v>143</v>
      </c>
      <c r="E14" s="10" t="s">
        <v>156</v>
      </c>
      <c r="F14" s="20" t="s">
        <v>381</v>
      </c>
      <c r="G14" s="31" t="s">
        <v>157</v>
      </c>
      <c r="H14" s="10" t="s">
        <v>19</v>
      </c>
      <c r="I14" s="10" t="s">
        <v>17</v>
      </c>
      <c r="J14" s="26" t="s">
        <v>95</v>
      </c>
      <c r="K14" s="10" t="s">
        <v>118</v>
      </c>
      <c r="L14" s="21">
        <v>46272</v>
      </c>
      <c r="M14" s="21">
        <v>46277</v>
      </c>
      <c r="N14" s="21"/>
      <c r="O14" s="21"/>
      <c r="P14" s="10" t="s">
        <v>97</v>
      </c>
      <c r="Q14" s="32">
        <v>0</v>
      </c>
      <c r="R14" s="9">
        <f t="shared" ca="1" si="0"/>
        <v>20</v>
      </c>
      <c r="S14" s="10">
        <v>16</v>
      </c>
      <c r="T14" s="33" t="s">
        <v>158</v>
      </c>
      <c r="U14" s="33" t="s">
        <v>380</v>
      </c>
      <c r="V14" s="33"/>
    </row>
    <row r="15" spans="1:22" ht="40.049999999999997" customHeight="1" x14ac:dyDescent="0.25">
      <c r="A15" s="15">
        <v>12</v>
      </c>
      <c r="B15" s="15" t="s">
        <v>159</v>
      </c>
      <c r="C15" s="40" t="s">
        <v>57</v>
      </c>
      <c r="D15" s="15" t="s">
        <v>143</v>
      </c>
      <c r="E15" s="15" t="s">
        <v>92</v>
      </c>
      <c r="F15" s="23" t="s">
        <v>160</v>
      </c>
      <c r="G15" s="34" t="s">
        <v>161</v>
      </c>
      <c r="H15" s="15" t="s">
        <v>21</v>
      </c>
      <c r="I15" s="15" t="s">
        <v>17</v>
      </c>
      <c r="J15" s="39" t="s">
        <v>110</v>
      </c>
      <c r="K15" s="15" t="s">
        <v>162</v>
      </c>
      <c r="L15" s="24">
        <v>46272</v>
      </c>
      <c r="M15" s="24">
        <v>46276</v>
      </c>
      <c r="N15" s="24"/>
      <c r="O15" s="24"/>
      <c r="P15" s="15" t="s">
        <v>97</v>
      </c>
      <c r="Q15" s="36">
        <v>0</v>
      </c>
      <c r="R15" s="14">
        <f t="shared" ca="1" si="0"/>
        <v>19</v>
      </c>
      <c r="S15" s="15">
        <v>12</v>
      </c>
      <c r="T15" s="37" t="s">
        <v>163</v>
      </c>
      <c r="U15" s="37" t="s">
        <v>164</v>
      </c>
      <c r="V15" s="37"/>
    </row>
    <row r="16" spans="1:22" ht="40.049999999999997" customHeight="1" x14ac:dyDescent="0.25">
      <c r="A16" s="10">
        <v>13</v>
      </c>
      <c r="B16" s="10" t="s">
        <v>165</v>
      </c>
      <c r="C16" s="40" t="s">
        <v>57</v>
      </c>
      <c r="D16" s="10" t="s">
        <v>166</v>
      </c>
      <c r="E16" s="10" t="s">
        <v>167</v>
      </c>
      <c r="F16" s="20" t="s">
        <v>168</v>
      </c>
      <c r="G16" s="31" t="s">
        <v>169</v>
      </c>
      <c r="H16" s="10" t="s">
        <v>17</v>
      </c>
      <c r="I16" s="10" t="s">
        <v>21</v>
      </c>
      <c r="J16" s="38" t="s">
        <v>110</v>
      </c>
      <c r="K16" s="10" t="s">
        <v>124</v>
      </c>
      <c r="L16" s="21">
        <v>46279</v>
      </c>
      <c r="M16" s="21">
        <v>46282</v>
      </c>
      <c r="N16" s="21"/>
      <c r="O16" s="21"/>
      <c r="P16" s="10" t="s">
        <v>97</v>
      </c>
      <c r="Q16" s="32">
        <v>0</v>
      </c>
      <c r="R16" s="9">
        <f t="shared" ca="1" si="0"/>
        <v>25</v>
      </c>
      <c r="S16" s="10">
        <v>10</v>
      </c>
      <c r="T16" s="33" t="s">
        <v>170</v>
      </c>
      <c r="U16" s="33" t="s">
        <v>171</v>
      </c>
      <c r="V16" s="33"/>
    </row>
    <row r="17" spans="1:22" ht="40.049999999999997" customHeight="1" x14ac:dyDescent="0.25">
      <c r="A17" s="15">
        <v>14</v>
      </c>
      <c r="B17" s="15" t="s">
        <v>172</v>
      </c>
      <c r="C17" s="40" t="s">
        <v>57</v>
      </c>
      <c r="D17" s="15" t="s">
        <v>166</v>
      </c>
      <c r="E17" s="15" t="s">
        <v>173</v>
      </c>
      <c r="F17" s="23" t="s">
        <v>174</v>
      </c>
      <c r="G17" s="34" t="s">
        <v>175</v>
      </c>
      <c r="H17" s="15" t="s">
        <v>19</v>
      </c>
      <c r="I17" s="15" t="s">
        <v>21</v>
      </c>
      <c r="J17" s="35" t="s">
        <v>95</v>
      </c>
      <c r="K17" s="15" t="s">
        <v>176</v>
      </c>
      <c r="L17" s="24">
        <v>46279</v>
      </c>
      <c r="M17" s="24">
        <v>46284</v>
      </c>
      <c r="N17" s="24"/>
      <c r="O17" s="24"/>
      <c r="P17" s="15" t="s">
        <v>97</v>
      </c>
      <c r="Q17" s="36">
        <v>0</v>
      </c>
      <c r="R17" s="14">
        <f t="shared" ca="1" si="0"/>
        <v>27</v>
      </c>
      <c r="S17" s="15">
        <v>20</v>
      </c>
      <c r="T17" s="37" t="s">
        <v>177</v>
      </c>
      <c r="U17" s="37" t="s">
        <v>178</v>
      </c>
      <c r="V17" s="37"/>
    </row>
    <row r="18" spans="1:22" ht="40.049999999999997" customHeight="1" x14ac:dyDescent="0.25">
      <c r="A18" s="10">
        <v>15</v>
      </c>
      <c r="B18" s="10" t="s">
        <v>179</v>
      </c>
      <c r="C18" s="40" t="s">
        <v>57</v>
      </c>
      <c r="D18" s="10" t="s">
        <v>166</v>
      </c>
      <c r="E18" s="10" t="s">
        <v>180</v>
      </c>
      <c r="F18" s="20" t="s">
        <v>181</v>
      </c>
      <c r="G18" s="31" t="s">
        <v>382</v>
      </c>
      <c r="H18" s="10" t="s">
        <v>21</v>
      </c>
      <c r="I18" s="10" t="s">
        <v>19</v>
      </c>
      <c r="J18" s="26" t="s">
        <v>95</v>
      </c>
      <c r="K18" s="10" t="s">
        <v>182</v>
      </c>
      <c r="L18" s="21">
        <v>46281</v>
      </c>
      <c r="M18" s="21">
        <v>46285</v>
      </c>
      <c r="N18" s="21"/>
      <c r="O18" s="21"/>
      <c r="P18" s="10" t="s">
        <v>97</v>
      </c>
      <c r="Q18" s="32">
        <v>0</v>
      </c>
      <c r="R18" s="9">
        <f t="shared" ca="1" si="0"/>
        <v>28</v>
      </c>
      <c r="S18" s="10">
        <v>14</v>
      </c>
      <c r="T18" s="33" t="s">
        <v>183</v>
      </c>
      <c r="U18" s="33" t="s">
        <v>184</v>
      </c>
      <c r="V18" s="33"/>
    </row>
    <row r="19" spans="1:22" ht="40.049999999999997" customHeight="1" x14ac:dyDescent="0.25">
      <c r="A19" s="15">
        <v>16</v>
      </c>
      <c r="B19" s="15" t="s">
        <v>185</v>
      </c>
      <c r="C19" s="40" t="s">
        <v>57</v>
      </c>
      <c r="D19" s="15" t="s">
        <v>166</v>
      </c>
      <c r="E19" s="15" t="s">
        <v>186</v>
      </c>
      <c r="F19" s="23" t="s">
        <v>187</v>
      </c>
      <c r="G19" s="34" t="s">
        <v>188</v>
      </c>
      <c r="H19" s="15" t="s">
        <v>139</v>
      </c>
      <c r="I19" s="15" t="s">
        <v>96</v>
      </c>
      <c r="J19" s="35" t="s">
        <v>95</v>
      </c>
      <c r="K19" s="15" t="s">
        <v>189</v>
      </c>
      <c r="L19" s="24">
        <v>46284</v>
      </c>
      <c r="M19" s="24">
        <v>46285</v>
      </c>
      <c r="N19" s="24"/>
      <c r="O19" s="24"/>
      <c r="P19" s="15" t="s">
        <v>97</v>
      </c>
      <c r="Q19" s="36">
        <v>0</v>
      </c>
      <c r="R19" s="14">
        <f t="shared" ca="1" si="0"/>
        <v>28</v>
      </c>
      <c r="S19" s="15">
        <v>8</v>
      </c>
      <c r="T19" s="37" t="s">
        <v>190</v>
      </c>
      <c r="U19" s="37" t="s">
        <v>191</v>
      </c>
      <c r="V19" s="37"/>
    </row>
    <row r="20" spans="1:22" ht="40.049999999999997" customHeight="1" x14ac:dyDescent="0.25">
      <c r="A20" s="10">
        <v>17</v>
      </c>
      <c r="B20" s="10" t="s">
        <v>192</v>
      </c>
      <c r="C20" s="41" t="s">
        <v>59</v>
      </c>
      <c r="D20" s="10" t="s">
        <v>193</v>
      </c>
      <c r="E20" s="10" t="s">
        <v>92</v>
      </c>
      <c r="F20" s="20" t="s">
        <v>194</v>
      </c>
      <c r="G20" s="31" t="s">
        <v>195</v>
      </c>
      <c r="H20" s="10" t="s">
        <v>139</v>
      </c>
      <c r="I20" s="10" t="s">
        <v>96</v>
      </c>
      <c r="J20" s="26" t="s">
        <v>95</v>
      </c>
      <c r="K20" s="10" t="s">
        <v>96</v>
      </c>
      <c r="L20" s="21">
        <v>46286</v>
      </c>
      <c r="M20" s="21">
        <v>46289</v>
      </c>
      <c r="N20" s="21"/>
      <c r="O20" s="21"/>
      <c r="P20" s="10" t="s">
        <v>97</v>
      </c>
      <c r="Q20" s="32">
        <v>0</v>
      </c>
      <c r="R20" s="9">
        <f t="shared" ca="1" si="0"/>
        <v>32</v>
      </c>
      <c r="S20" s="10">
        <v>12</v>
      </c>
      <c r="T20" s="33" t="s">
        <v>196</v>
      </c>
      <c r="U20" s="33" t="s">
        <v>197</v>
      </c>
      <c r="V20" s="33"/>
    </row>
    <row r="21" spans="1:22" ht="40.049999999999997" customHeight="1" x14ac:dyDescent="0.25">
      <c r="A21" s="15">
        <v>18</v>
      </c>
      <c r="B21" s="15" t="s">
        <v>198</v>
      </c>
      <c r="C21" s="41" t="s">
        <v>59</v>
      </c>
      <c r="D21" s="15" t="s">
        <v>193</v>
      </c>
      <c r="E21" s="15" t="s">
        <v>199</v>
      </c>
      <c r="F21" s="23" t="s">
        <v>200</v>
      </c>
      <c r="G21" s="34" t="s">
        <v>201</v>
      </c>
      <c r="H21" s="15" t="s">
        <v>21</v>
      </c>
      <c r="I21" s="15" t="s">
        <v>17</v>
      </c>
      <c r="J21" s="35" t="s">
        <v>95</v>
      </c>
      <c r="K21" s="15" t="s">
        <v>192</v>
      </c>
      <c r="L21" s="24">
        <v>46288</v>
      </c>
      <c r="M21" s="24">
        <v>46291</v>
      </c>
      <c r="N21" s="24"/>
      <c r="O21" s="24"/>
      <c r="P21" s="15" t="s">
        <v>97</v>
      </c>
      <c r="Q21" s="36">
        <v>0</v>
      </c>
      <c r="R21" s="14">
        <f t="shared" ca="1" si="0"/>
        <v>34</v>
      </c>
      <c r="S21" s="15">
        <v>14</v>
      </c>
      <c r="T21" s="37" t="s">
        <v>202</v>
      </c>
      <c r="U21" s="37" t="s">
        <v>203</v>
      </c>
      <c r="V21" s="37"/>
    </row>
    <row r="22" spans="1:22" ht="40.049999999999997" customHeight="1" x14ac:dyDescent="0.25">
      <c r="A22" s="10">
        <v>19</v>
      </c>
      <c r="B22" s="10" t="s">
        <v>204</v>
      </c>
      <c r="C22" s="41" t="s">
        <v>59</v>
      </c>
      <c r="D22" s="10" t="s">
        <v>193</v>
      </c>
      <c r="E22" s="10" t="s">
        <v>107</v>
      </c>
      <c r="F22" s="20" t="s">
        <v>205</v>
      </c>
      <c r="G22" s="31" t="s">
        <v>206</v>
      </c>
      <c r="H22" s="10" t="s">
        <v>17</v>
      </c>
      <c r="I22" s="10" t="s">
        <v>21</v>
      </c>
      <c r="J22" s="38" t="s">
        <v>110</v>
      </c>
      <c r="K22" s="10" t="s">
        <v>124</v>
      </c>
      <c r="L22" s="21">
        <v>46286</v>
      </c>
      <c r="M22" s="21">
        <v>46291</v>
      </c>
      <c r="N22" s="21"/>
      <c r="O22" s="21"/>
      <c r="P22" s="10" t="s">
        <v>97</v>
      </c>
      <c r="Q22" s="32">
        <v>0</v>
      </c>
      <c r="R22" s="9">
        <f t="shared" ca="1" si="0"/>
        <v>34</v>
      </c>
      <c r="S22" s="10">
        <v>16</v>
      </c>
      <c r="T22" s="33" t="s">
        <v>207</v>
      </c>
      <c r="U22" s="33" t="s">
        <v>208</v>
      </c>
      <c r="V22" s="33"/>
    </row>
    <row r="23" spans="1:22" ht="40.049999999999997" customHeight="1" x14ac:dyDescent="0.25">
      <c r="A23" s="15">
        <v>20</v>
      </c>
      <c r="B23" s="15" t="s">
        <v>209</v>
      </c>
      <c r="C23" s="41" t="s">
        <v>59</v>
      </c>
      <c r="D23" s="15" t="s">
        <v>193</v>
      </c>
      <c r="E23" s="15" t="s">
        <v>101</v>
      </c>
      <c r="F23" s="23" t="s">
        <v>210</v>
      </c>
      <c r="G23" s="34" t="s">
        <v>211</v>
      </c>
      <c r="H23" s="15" t="s">
        <v>19</v>
      </c>
      <c r="I23" s="15" t="s">
        <v>17</v>
      </c>
      <c r="J23" s="42" t="s">
        <v>212</v>
      </c>
      <c r="K23" s="15" t="s">
        <v>185</v>
      </c>
      <c r="L23" s="24">
        <v>46286</v>
      </c>
      <c r="M23" s="24">
        <v>46291</v>
      </c>
      <c r="N23" s="24"/>
      <c r="O23" s="24"/>
      <c r="P23" s="15" t="s">
        <v>97</v>
      </c>
      <c r="Q23" s="36">
        <v>0</v>
      </c>
      <c r="R23" s="14">
        <f t="shared" ca="1" si="0"/>
        <v>34</v>
      </c>
      <c r="S23" s="15">
        <v>12</v>
      </c>
      <c r="T23" s="37" t="s">
        <v>213</v>
      </c>
      <c r="U23" s="37" t="s">
        <v>214</v>
      </c>
      <c r="V23" s="37"/>
    </row>
    <row r="24" spans="1:22" ht="40.049999999999997" customHeight="1" x14ac:dyDescent="0.25">
      <c r="A24" s="10">
        <v>21</v>
      </c>
      <c r="B24" s="10" t="s">
        <v>215</v>
      </c>
      <c r="C24" s="41" t="s">
        <v>59</v>
      </c>
      <c r="D24" s="10" t="s">
        <v>216</v>
      </c>
      <c r="E24" s="10" t="s">
        <v>217</v>
      </c>
      <c r="F24" s="20" t="s">
        <v>218</v>
      </c>
      <c r="G24" s="31" t="s">
        <v>219</v>
      </c>
      <c r="H24" s="10" t="s">
        <v>17</v>
      </c>
      <c r="I24" s="10" t="s">
        <v>21</v>
      </c>
      <c r="J24" s="26" t="s">
        <v>95</v>
      </c>
      <c r="K24" s="10" t="s">
        <v>204</v>
      </c>
      <c r="L24" s="21">
        <v>46293</v>
      </c>
      <c r="M24" s="21">
        <v>46296</v>
      </c>
      <c r="N24" s="21"/>
      <c r="O24" s="21"/>
      <c r="P24" s="10" t="s">
        <v>97</v>
      </c>
      <c r="Q24" s="32">
        <v>0</v>
      </c>
      <c r="R24" s="9">
        <f t="shared" ca="1" si="0"/>
        <v>39</v>
      </c>
      <c r="S24" s="10">
        <v>12</v>
      </c>
      <c r="T24" s="33" t="s">
        <v>220</v>
      </c>
      <c r="U24" s="33" t="s">
        <v>221</v>
      </c>
      <c r="V24" s="33"/>
    </row>
    <row r="25" spans="1:22" ht="40.049999999999997" customHeight="1" x14ac:dyDescent="0.25">
      <c r="A25" s="15">
        <v>22</v>
      </c>
      <c r="B25" s="15" t="s">
        <v>222</v>
      </c>
      <c r="C25" s="41" t="s">
        <v>59</v>
      </c>
      <c r="D25" s="15" t="s">
        <v>216</v>
      </c>
      <c r="E25" s="15" t="s">
        <v>223</v>
      </c>
      <c r="F25" s="23" t="s">
        <v>224</v>
      </c>
      <c r="G25" s="34" t="s">
        <v>225</v>
      </c>
      <c r="H25" s="15" t="s">
        <v>21</v>
      </c>
      <c r="I25" s="15" t="s">
        <v>19</v>
      </c>
      <c r="J25" s="35" t="s">
        <v>95</v>
      </c>
      <c r="K25" s="15" t="s">
        <v>226</v>
      </c>
      <c r="L25" s="24">
        <v>46295</v>
      </c>
      <c r="M25" s="24">
        <v>46297</v>
      </c>
      <c r="N25" s="24"/>
      <c r="O25" s="24"/>
      <c r="P25" s="15" t="s">
        <v>97</v>
      </c>
      <c r="Q25" s="36">
        <v>0</v>
      </c>
      <c r="R25" s="14">
        <f t="shared" ca="1" si="0"/>
        <v>40</v>
      </c>
      <c r="S25" s="15">
        <v>8</v>
      </c>
      <c r="T25" s="37" t="s">
        <v>227</v>
      </c>
      <c r="U25" s="37" t="s">
        <v>228</v>
      </c>
      <c r="V25" s="37"/>
    </row>
    <row r="26" spans="1:22" ht="40.049999999999997" customHeight="1" x14ac:dyDescent="0.25">
      <c r="A26" s="10">
        <v>23</v>
      </c>
      <c r="B26" s="10" t="s">
        <v>229</v>
      </c>
      <c r="C26" s="41" t="s">
        <v>59</v>
      </c>
      <c r="D26" s="10" t="s">
        <v>216</v>
      </c>
      <c r="E26" s="10" t="s">
        <v>173</v>
      </c>
      <c r="F26" s="20" t="s">
        <v>230</v>
      </c>
      <c r="G26" s="31" t="s">
        <v>231</v>
      </c>
      <c r="H26" s="10" t="s">
        <v>19</v>
      </c>
      <c r="I26" s="10" t="s">
        <v>17</v>
      </c>
      <c r="J26" s="38" t="s">
        <v>110</v>
      </c>
      <c r="K26" s="10" t="s">
        <v>222</v>
      </c>
      <c r="L26" s="21">
        <v>46296</v>
      </c>
      <c r="M26" s="21">
        <v>46299</v>
      </c>
      <c r="N26" s="21"/>
      <c r="O26" s="21"/>
      <c r="P26" s="10" t="s">
        <v>97</v>
      </c>
      <c r="Q26" s="32">
        <v>0</v>
      </c>
      <c r="R26" s="9">
        <f t="shared" ca="1" si="0"/>
        <v>42</v>
      </c>
      <c r="S26" s="10">
        <v>12</v>
      </c>
      <c r="T26" s="33" t="s">
        <v>232</v>
      </c>
      <c r="U26" s="33" t="s">
        <v>233</v>
      </c>
      <c r="V26" s="33"/>
    </row>
    <row r="27" spans="1:22" ht="40.049999999999997" customHeight="1" x14ac:dyDescent="0.25">
      <c r="A27" s="15">
        <v>24</v>
      </c>
      <c r="B27" s="15" t="s">
        <v>234</v>
      </c>
      <c r="C27" s="41" t="s">
        <v>59</v>
      </c>
      <c r="D27" s="15" t="s">
        <v>216</v>
      </c>
      <c r="E27" s="15" t="s">
        <v>223</v>
      </c>
      <c r="F27" s="23" t="s">
        <v>235</v>
      </c>
      <c r="G27" s="34" t="s">
        <v>236</v>
      </c>
      <c r="H27" s="15" t="s">
        <v>139</v>
      </c>
      <c r="I27" s="15" t="s">
        <v>96</v>
      </c>
      <c r="J27" s="35" t="s">
        <v>95</v>
      </c>
      <c r="K27" s="15" t="s">
        <v>237</v>
      </c>
      <c r="L27" s="24">
        <v>46298</v>
      </c>
      <c r="M27" s="24">
        <v>46299</v>
      </c>
      <c r="N27" s="24"/>
      <c r="O27" s="24"/>
      <c r="P27" s="15" t="s">
        <v>97</v>
      </c>
      <c r="Q27" s="36">
        <v>0</v>
      </c>
      <c r="R27" s="14">
        <f t="shared" ca="1" si="0"/>
        <v>42</v>
      </c>
      <c r="S27" s="15">
        <v>6</v>
      </c>
      <c r="T27" s="37" t="s">
        <v>238</v>
      </c>
      <c r="U27" s="37" t="s">
        <v>239</v>
      </c>
      <c r="V27" s="37"/>
    </row>
    <row r="28" spans="1:22" ht="40.049999999999997" customHeight="1" x14ac:dyDescent="0.25">
      <c r="A28" s="10">
        <v>25</v>
      </c>
      <c r="B28" s="10" t="s">
        <v>240</v>
      </c>
      <c r="C28" s="43" t="s">
        <v>61</v>
      </c>
      <c r="D28" s="10" t="s">
        <v>241</v>
      </c>
      <c r="E28" s="10" t="s">
        <v>242</v>
      </c>
      <c r="F28" s="20" t="s">
        <v>243</v>
      </c>
      <c r="G28" s="31" t="s">
        <v>244</v>
      </c>
      <c r="H28" s="10" t="s">
        <v>21</v>
      </c>
      <c r="I28" s="10" t="s">
        <v>19</v>
      </c>
      <c r="J28" s="38" t="s">
        <v>110</v>
      </c>
      <c r="K28" s="10" t="s">
        <v>96</v>
      </c>
      <c r="L28" s="21">
        <v>46300</v>
      </c>
      <c r="M28" s="21">
        <v>46301</v>
      </c>
      <c r="N28" s="21"/>
      <c r="O28" s="21"/>
      <c r="P28" s="10" t="s">
        <v>97</v>
      </c>
      <c r="Q28" s="32">
        <v>0</v>
      </c>
      <c r="R28" s="9">
        <f t="shared" ca="1" si="0"/>
        <v>44</v>
      </c>
      <c r="S28" s="10">
        <v>6</v>
      </c>
      <c r="T28" s="33" t="s">
        <v>245</v>
      </c>
      <c r="U28" s="33" t="s">
        <v>246</v>
      </c>
      <c r="V28" s="33"/>
    </row>
    <row r="29" spans="1:22" ht="40.049999999999997" customHeight="1" x14ac:dyDescent="0.25">
      <c r="A29" s="15">
        <v>26</v>
      </c>
      <c r="B29" s="15" t="s">
        <v>247</v>
      </c>
      <c r="C29" s="43" t="s">
        <v>61</v>
      </c>
      <c r="D29" s="15" t="s">
        <v>241</v>
      </c>
      <c r="E29" s="15" t="s">
        <v>186</v>
      </c>
      <c r="F29" s="23" t="s">
        <v>248</v>
      </c>
      <c r="G29" s="34" t="s">
        <v>249</v>
      </c>
      <c r="H29" s="15" t="s">
        <v>139</v>
      </c>
      <c r="I29" s="15" t="s">
        <v>96</v>
      </c>
      <c r="J29" s="35" t="s">
        <v>95</v>
      </c>
      <c r="K29" s="15" t="s">
        <v>250</v>
      </c>
      <c r="L29" s="24">
        <v>46302</v>
      </c>
      <c r="M29" s="24">
        <v>46305</v>
      </c>
      <c r="N29" s="24"/>
      <c r="O29" s="24"/>
      <c r="P29" s="15" t="s">
        <v>97</v>
      </c>
      <c r="Q29" s="36">
        <v>0</v>
      </c>
      <c r="R29" s="14">
        <f t="shared" ca="1" si="0"/>
        <v>48</v>
      </c>
      <c r="S29" s="15">
        <v>12</v>
      </c>
      <c r="T29" s="37" t="s">
        <v>251</v>
      </c>
      <c r="U29" s="37" t="s">
        <v>252</v>
      </c>
      <c r="V29" s="37"/>
    </row>
    <row r="30" spans="1:22" ht="40.049999999999997" customHeight="1" x14ac:dyDescent="0.25">
      <c r="A30" s="10">
        <v>27</v>
      </c>
      <c r="B30" s="10" t="s">
        <v>253</v>
      </c>
      <c r="C30" s="43" t="s">
        <v>61</v>
      </c>
      <c r="D30" s="10" t="s">
        <v>241</v>
      </c>
      <c r="E30" s="10" t="s">
        <v>150</v>
      </c>
      <c r="F30" s="20" t="s">
        <v>254</v>
      </c>
      <c r="G30" s="31" t="s">
        <v>255</v>
      </c>
      <c r="H30" s="10" t="s">
        <v>17</v>
      </c>
      <c r="I30" s="10" t="s">
        <v>19</v>
      </c>
      <c r="J30" s="38" t="s">
        <v>110</v>
      </c>
      <c r="K30" s="10" t="s">
        <v>247</v>
      </c>
      <c r="L30" s="21">
        <v>46304</v>
      </c>
      <c r="M30" s="21">
        <v>46306</v>
      </c>
      <c r="N30" s="21"/>
      <c r="O30" s="21"/>
      <c r="P30" s="10" t="s">
        <v>97</v>
      </c>
      <c r="Q30" s="32">
        <v>0</v>
      </c>
      <c r="R30" s="9">
        <f t="shared" ca="1" si="0"/>
        <v>49</v>
      </c>
      <c r="S30" s="10">
        <v>8</v>
      </c>
      <c r="T30" s="33" t="s">
        <v>256</v>
      </c>
      <c r="U30" s="33" t="s">
        <v>257</v>
      </c>
      <c r="V30" s="33"/>
    </row>
    <row r="31" spans="1:22" ht="40.049999999999997" customHeight="1" x14ac:dyDescent="0.25">
      <c r="A31" s="15">
        <v>28</v>
      </c>
      <c r="B31" s="15" t="s">
        <v>258</v>
      </c>
      <c r="C31" s="43" t="s">
        <v>61</v>
      </c>
      <c r="D31" s="15" t="s">
        <v>259</v>
      </c>
      <c r="E31" s="15" t="s">
        <v>96</v>
      </c>
      <c r="F31" s="23" t="s">
        <v>260</v>
      </c>
      <c r="G31" s="34" t="s">
        <v>261</v>
      </c>
      <c r="H31" s="15" t="s">
        <v>17</v>
      </c>
      <c r="I31" s="15" t="s">
        <v>19</v>
      </c>
      <c r="J31" s="35" t="s">
        <v>95</v>
      </c>
      <c r="K31" s="15" t="s">
        <v>262</v>
      </c>
      <c r="L31" s="24">
        <v>46307</v>
      </c>
      <c r="M31" s="24">
        <v>46310</v>
      </c>
      <c r="N31" s="24"/>
      <c r="O31" s="24"/>
      <c r="P31" s="15" t="s">
        <v>97</v>
      </c>
      <c r="Q31" s="36">
        <v>0</v>
      </c>
      <c r="R31" s="14">
        <f t="shared" ca="1" si="0"/>
        <v>53</v>
      </c>
      <c r="S31" s="15">
        <v>14</v>
      </c>
      <c r="T31" s="37" t="s">
        <v>263</v>
      </c>
      <c r="U31" s="37" t="s">
        <v>264</v>
      </c>
      <c r="V31" s="37"/>
    </row>
    <row r="32" spans="1:22" ht="40.049999999999997" customHeight="1" x14ac:dyDescent="0.25">
      <c r="A32" s="10">
        <v>29</v>
      </c>
      <c r="B32" s="10" t="s">
        <v>265</v>
      </c>
      <c r="C32" s="43" t="s">
        <v>61</v>
      </c>
      <c r="D32" s="10" t="s">
        <v>259</v>
      </c>
      <c r="E32" s="10" t="s">
        <v>96</v>
      </c>
      <c r="F32" s="20" t="s">
        <v>266</v>
      </c>
      <c r="G32" s="31" t="s">
        <v>267</v>
      </c>
      <c r="H32" s="10" t="s">
        <v>17</v>
      </c>
      <c r="I32" s="10" t="s">
        <v>19</v>
      </c>
      <c r="J32" s="38" t="s">
        <v>110</v>
      </c>
      <c r="K32" s="10" t="s">
        <v>258</v>
      </c>
      <c r="L32" s="21">
        <v>46309</v>
      </c>
      <c r="M32" s="21">
        <v>46312</v>
      </c>
      <c r="N32" s="21"/>
      <c r="O32" s="21"/>
      <c r="P32" s="10" t="s">
        <v>97</v>
      </c>
      <c r="Q32" s="32">
        <v>0</v>
      </c>
      <c r="R32" s="9">
        <f t="shared" ca="1" si="0"/>
        <v>55</v>
      </c>
      <c r="S32" s="10">
        <v>12</v>
      </c>
      <c r="T32" s="33" t="s">
        <v>268</v>
      </c>
      <c r="U32" s="33" t="s">
        <v>269</v>
      </c>
      <c r="V32" s="33"/>
    </row>
    <row r="33" spans="1:22" ht="40.049999999999997" customHeight="1" x14ac:dyDescent="0.25">
      <c r="A33" s="15">
        <v>30</v>
      </c>
      <c r="B33" s="15" t="s">
        <v>270</v>
      </c>
      <c r="C33" s="43" t="s">
        <v>61</v>
      </c>
      <c r="D33" s="15" t="s">
        <v>259</v>
      </c>
      <c r="E33" s="15" t="s">
        <v>96</v>
      </c>
      <c r="F33" s="23" t="s">
        <v>271</v>
      </c>
      <c r="G33" s="34" t="s">
        <v>272</v>
      </c>
      <c r="H33" s="15" t="s">
        <v>21</v>
      </c>
      <c r="I33" s="15" t="s">
        <v>17</v>
      </c>
      <c r="J33" s="39" t="s">
        <v>110</v>
      </c>
      <c r="K33" s="15" t="s">
        <v>185</v>
      </c>
      <c r="L33" s="24">
        <v>46307</v>
      </c>
      <c r="M33" s="24">
        <v>46312</v>
      </c>
      <c r="N33" s="24"/>
      <c r="O33" s="24"/>
      <c r="P33" s="15" t="s">
        <v>97</v>
      </c>
      <c r="Q33" s="36">
        <v>0</v>
      </c>
      <c r="R33" s="14">
        <f t="shared" ca="1" si="0"/>
        <v>55</v>
      </c>
      <c r="S33" s="15">
        <v>14</v>
      </c>
      <c r="T33" s="37" t="s">
        <v>273</v>
      </c>
      <c r="U33" s="37" t="s">
        <v>274</v>
      </c>
      <c r="V33" s="37"/>
    </row>
    <row r="34" spans="1:22" ht="40.049999999999997" customHeight="1" x14ac:dyDescent="0.25">
      <c r="A34" s="10">
        <v>31</v>
      </c>
      <c r="B34" s="10" t="s">
        <v>275</v>
      </c>
      <c r="C34" s="43" t="s">
        <v>61</v>
      </c>
      <c r="D34" s="10" t="s">
        <v>276</v>
      </c>
      <c r="E34" s="10" t="s">
        <v>96</v>
      </c>
      <c r="F34" s="20" t="s">
        <v>277</v>
      </c>
      <c r="G34" s="31" t="s">
        <v>278</v>
      </c>
      <c r="H34" s="10" t="s">
        <v>139</v>
      </c>
      <c r="I34" s="10" t="s">
        <v>96</v>
      </c>
      <c r="J34" s="26" t="s">
        <v>95</v>
      </c>
      <c r="K34" s="10" t="s">
        <v>279</v>
      </c>
      <c r="L34" s="21">
        <v>46314</v>
      </c>
      <c r="M34" s="21">
        <v>46318</v>
      </c>
      <c r="N34" s="21"/>
      <c r="O34" s="21"/>
      <c r="P34" s="10" t="s">
        <v>97</v>
      </c>
      <c r="Q34" s="32">
        <v>0</v>
      </c>
      <c r="R34" s="9">
        <f t="shared" ca="1" si="0"/>
        <v>61</v>
      </c>
      <c r="S34" s="10">
        <v>18</v>
      </c>
      <c r="T34" s="33" t="s">
        <v>280</v>
      </c>
      <c r="U34" s="33" t="s">
        <v>281</v>
      </c>
      <c r="V34" s="33"/>
    </row>
    <row r="35" spans="1:22" ht="40.049999999999997" customHeight="1" x14ac:dyDescent="0.25">
      <c r="A35" s="15">
        <v>32</v>
      </c>
      <c r="B35" s="15" t="s">
        <v>282</v>
      </c>
      <c r="C35" s="43" t="s">
        <v>61</v>
      </c>
      <c r="D35" s="15" t="s">
        <v>276</v>
      </c>
      <c r="E35" s="15" t="s">
        <v>96</v>
      </c>
      <c r="F35" s="23" t="s">
        <v>283</v>
      </c>
      <c r="G35" s="34" t="s">
        <v>284</v>
      </c>
      <c r="H35" s="15" t="s">
        <v>139</v>
      </c>
      <c r="I35" s="15" t="s">
        <v>96</v>
      </c>
      <c r="J35" s="42" t="s">
        <v>212</v>
      </c>
      <c r="K35" s="15" t="s">
        <v>96</v>
      </c>
      <c r="L35" s="24">
        <v>46314</v>
      </c>
      <c r="M35" s="24">
        <v>46320</v>
      </c>
      <c r="N35" s="24"/>
      <c r="O35" s="24"/>
      <c r="P35" s="15" t="s">
        <v>97</v>
      </c>
      <c r="Q35" s="36">
        <v>0</v>
      </c>
      <c r="R35" s="14">
        <f t="shared" ca="1" si="0"/>
        <v>63</v>
      </c>
      <c r="S35" s="15">
        <v>12</v>
      </c>
      <c r="T35" s="37" t="s">
        <v>285</v>
      </c>
      <c r="U35" s="37" t="s">
        <v>96</v>
      </c>
      <c r="V35" s="37"/>
    </row>
  </sheetData>
  <autoFilter ref="A3:V35" xr:uid="{00000000-0009-0000-0000-000001000000}"/>
  <mergeCells count="2">
    <mergeCell ref="A2:V2"/>
    <mergeCell ref="A1:V1"/>
  </mergeCells>
  <conditionalFormatting sqref="P4:P35">
    <cfRule type="cellIs" dxfId="7" priority="1" operator="equal">
      <formula>"✅ Done"</formula>
    </cfRule>
    <cfRule type="cellIs" dxfId="6" priority="2" operator="equal">
      <formula>"🔴 Blocked"</formula>
    </cfRule>
    <cfRule type="cellIs" dxfId="5" priority="3" operator="equal">
      <formula>"🔵 In Progress"</formula>
    </cfRule>
    <cfRule type="cellIs" dxfId="4" priority="4" operator="equal">
      <formula>"⏰ Overdue"</formula>
    </cfRule>
  </conditionalFormatting>
  <conditionalFormatting sqref="Q4:Q35">
    <cfRule type="dataBar" priority="7">
      <dataBar>
        <cfvo type="num" val="0"/>
        <cfvo type="num" val="1"/>
        <color rgb="FF2E7D32"/>
      </dataBar>
    </cfRule>
  </conditionalFormatting>
  <conditionalFormatting sqref="R4:R35">
    <cfRule type="cellIs" dxfId="3" priority="5" operator="lessThanOrEqual">
      <formula>2</formula>
    </cfRule>
    <cfRule type="cellIs" dxfId="2" priority="6" operator="between">
      <formula>3</formula>
      <formula>5</formula>
    </cfRule>
  </conditionalFormatting>
  <dataValidations count="4">
    <dataValidation type="list" allowBlank="1" errorTitle="Invalid Status" error="Please select a valid status" sqref="P4:P35" xr:uid="{00000000-0002-0000-0100-000000000000}">
      <formula1>"⬜ Not Started,🔵 In Progress,✅ Done,🔴 Blocked,⏰ Overdue,⏸ On Hold"</formula1>
    </dataValidation>
    <dataValidation type="list" allowBlank="1" sqref="J4:J35" xr:uid="{00000000-0002-0000-0100-000001000000}">
      <formula1>"🔴 Critical,🟡 High,🟢 Normal,⚪ Low"</formula1>
    </dataValidation>
    <dataValidation type="list" allowBlank="1" sqref="H4:H35" xr:uid="{00000000-0002-0000-0100-000002000000}">
      <formula1>"Duy,Tuân,Việt Anh,Cả nhóm"</formula1>
    </dataValidation>
    <dataValidation type="list" allowBlank="1" sqref="I4:I35" xr:uid="{00000000-0002-0000-0100-000003000000}">
      <formula1>"Duy,Tuân,Việt Anh,—"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96F3"/>
  </sheetPr>
  <dimension ref="A1:BO43"/>
  <sheetViews>
    <sheetView workbookViewId="0">
      <pane xSplit="4" ySplit="3" topLeftCell="E21" activePane="bottomRight" state="frozen"/>
      <selection pane="topRight"/>
      <selection pane="bottomLeft"/>
      <selection pane="bottomRight" activeCell="C27" sqref="C27"/>
    </sheetView>
  </sheetViews>
  <sheetFormatPr defaultRowHeight="13.8" x14ac:dyDescent="0.25"/>
  <cols>
    <col min="1" max="1" width="5" customWidth="1"/>
    <col min="2" max="2" width="10" customWidth="1"/>
    <col min="3" max="3" width="35" customWidth="1"/>
    <col min="4" max="4" width="10" customWidth="1"/>
    <col min="5" max="67" width="3" customWidth="1"/>
  </cols>
  <sheetData>
    <row r="1" spans="1:67" x14ac:dyDescent="0.25">
      <c r="A1" s="91" t="s">
        <v>286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</row>
    <row r="2" spans="1:67" ht="15" x14ac:dyDescent="0.25">
      <c r="A2" s="2" t="s">
        <v>69</v>
      </c>
      <c r="B2" s="2" t="s">
        <v>70</v>
      </c>
      <c r="C2" s="2" t="s">
        <v>287</v>
      </c>
      <c r="D2" s="2" t="s">
        <v>76</v>
      </c>
      <c r="E2" s="104" t="s">
        <v>91</v>
      </c>
      <c r="F2" s="100"/>
      <c r="G2" s="100"/>
      <c r="H2" s="100"/>
      <c r="I2" s="100"/>
      <c r="J2" s="100"/>
      <c r="K2" s="100"/>
      <c r="L2" s="101" t="s">
        <v>119</v>
      </c>
      <c r="M2" s="100"/>
      <c r="N2" s="100"/>
      <c r="O2" s="100"/>
      <c r="P2" s="100"/>
      <c r="Q2" s="100"/>
      <c r="R2" s="100"/>
      <c r="S2" s="99" t="s">
        <v>143</v>
      </c>
      <c r="T2" s="100"/>
      <c r="U2" s="100"/>
      <c r="V2" s="100"/>
      <c r="W2" s="100"/>
      <c r="X2" s="100"/>
      <c r="Y2" s="100"/>
      <c r="Z2" s="103" t="s">
        <v>166</v>
      </c>
      <c r="AA2" s="100"/>
      <c r="AB2" s="100"/>
      <c r="AC2" s="100"/>
      <c r="AD2" s="100"/>
      <c r="AE2" s="100"/>
      <c r="AF2" s="100"/>
      <c r="AG2" s="104" t="s">
        <v>193</v>
      </c>
      <c r="AH2" s="100"/>
      <c r="AI2" s="100"/>
      <c r="AJ2" s="100"/>
      <c r="AK2" s="100"/>
      <c r="AL2" s="100"/>
      <c r="AM2" s="100"/>
      <c r="AN2" s="101" t="s">
        <v>216</v>
      </c>
      <c r="AO2" s="100"/>
      <c r="AP2" s="100"/>
      <c r="AQ2" s="100"/>
      <c r="AR2" s="100"/>
      <c r="AS2" s="100"/>
      <c r="AT2" s="100"/>
      <c r="AU2" s="99" t="s">
        <v>241</v>
      </c>
      <c r="AV2" s="100"/>
      <c r="AW2" s="100"/>
      <c r="AX2" s="100"/>
      <c r="AY2" s="100"/>
      <c r="AZ2" s="100"/>
      <c r="BA2" s="100"/>
      <c r="BB2" s="103" t="s">
        <v>259</v>
      </c>
      <c r="BC2" s="100"/>
      <c r="BD2" s="100"/>
      <c r="BE2" s="100"/>
      <c r="BF2" s="100"/>
      <c r="BG2" s="100"/>
      <c r="BH2" s="100"/>
      <c r="BI2" s="104" t="s">
        <v>276</v>
      </c>
      <c r="BJ2" s="100"/>
      <c r="BK2" s="100"/>
      <c r="BL2" s="100"/>
      <c r="BM2" s="100"/>
      <c r="BN2" s="100"/>
      <c r="BO2" s="100"/>
    </row>
    <row r="3" spans="1:67" x14ac:dyDescent="0.25">
      <c r="A3" s="6"/>
      <c r="B3" s="6"/>
      <c r="C3" s="6"/>
      <c r="D3" s="6"/>
      <c r="E3" s="45">
        <v>24</v>
      </c>
      <c r="F3" s="45">
        <v>25</v>
      </c>
      <c r="G3" s="45">
        <v>26</v>
      </c>
      <c r="H3" s="45">
        <v>27</v>
      </c>
      <c r="I3" s="45">
        <v>28</v>
      </c>
      <c r="J3" s="46">
        <v>29</v>
      </c>
      <c r="K3" s="46">
        <v>30</v>
      </c>
      <c r="L3" s="45">
        <v>31</v>
      </c>
      <c r="M3" s="45">
        <v>1</v>
      </c>
      <c r="N3" s="45">
        <v>2</v>
      </c>
      <c r="O3" s="45">
        <v>3</v>
      </c>
      <c r="P3" s="45">
        <v>4</v>
      </c>
      <c r="Q3" s="46">
        <v>5</v>
      </c>
      <c r="R3" s="46">
        <v>6</v>
      </c>
      <c r="S3" s="45">
        <v>7</v>
      </c>
      <c r="T3" s="45">
        <v>8</v>
      </c>
      <c r="U3" s="45">
        <v>9</v>
      </c>
      <c r="V3" s="45">
        <v>10</v>
      </c>
      <c r="W3" s="45">
        <v>11</v>
      </c>
      <c r="X3" s="46">
        <v>12</v>
      </c>
      <c r="Y3" s="46">
        <v>13</v>
      </c>
      <c r="Z3" s="45">
        <v>14</v>
      </c>
      <c r="AA3" s="45">
        <v>15</v>
      </c>
      <c r="AB3" s="45">
        <v>16</v>
      </c>
      <c r="AC3" s="45">
        <v>17</v>
      </c>
      <c r="AD3" s="45">
        <v>18</v>
      </c>
      <c r="AE3" s="46">
        <v>19</v>
      </c>
      <c r="AF3" s="46">
        <v>20</v>
      </c>
      <c r="AG3" s="45">
        <v>21</v>
      </c>
      <c r="AH3" s="45">
        <v>22</v>
      </c>
      <c r="AI3" s="45">
        <v>23</v>
      </c>
      <c r="AJ3" s="45">
        <v>24</v>
      </c>
      <c r="AK3" s="45">
        <v>25</v>
      </c>
      <c r="AL3" s="46">
        <v>26</v>
      </c>
      <c r="AM3" s="46">
        <v>27</v>
      </c>
      <c r="AN3" s="45">
        <v>28</v>
      </c>
      <c r="AO3" s="45">
        <v>29</v>
      </c>
      <c r="AP3" s="45">
        <v>30</v>
      </c>
      <c r="AQ3" s="45">
        <v>1</v>
      </c>
      <c r="AR3" s="45">
        <v>2</v>
      </c>
      <c r="AS3" s="46">
        <v>3</v>
      </c>
      <c r="AT3" s="46">
        <v>4</v>
      </c>
      <c r="AU3" s="45">
        <v>5</v>
      </c>
      <c r="AV3" s="45">
        <v>6</v>
      </c>
      <c r="AW3" s="45">
        <v>7</v>
      </c>
      <c r="AX3" s="45">
        <v>8</v>
      </c>
      <c r="AY3" s="45">
        <v>9</v>
      </c>
      <c r="AZ3" s="46">
        <v>10</v>
      </c>
      <c r="BA3" s="46">
        <v>11</v>
      </c>
      <c r="BB3" s="45">
        <v>12</v>
      </c>
      <c r="BC3" s="45">
        <v>13</v>
      </c>
      <c r="BD3" s="45">
        <v>14</v>
      </c>
      <c r="BE3" s="45">
        <v>15</v>
      </c>
      <c r="BF3" s="45">
        <v>16</v>
      </c>
      <c r="BG3" s="46">
        <v>17</v>
      </c>
      <c r="BH3" s="46">
        <v>18</v>
      </c>
      <c r="BI3" s="45">
        <v>19</v>
      </c>
      <c r="BJ3" s="45">
        <v>20</v>
      </c>
      <c r="BK3" s="45">
        <v>21</v>
      </c>
      <c r="BL3" s="45">
        <v>22</v>
      </c>
      <c r="BM3" s="45">
        <v>23</v>
      </c>
      <c r="BN3" s="46">
        <v>24</v>
      </c>
      <c r="BO3" s="46">
        <v>25</v>
      </c>
    </row>
    <row r="4" spans="1:67" ht="22.05" customHeight="1" x14ac:dyDescent="0.25">
      <c r="A4" s="47">
        <v>1</v>
      </c>
      <c r="B4" s="47" t="s">
        <v>90</v>
      </c>
      <c r="C4" s="48" t="s">
        <v>93</v>
      </c>
      <c r="D4" s="49" t="s">
        <v>19</v>
      </c>
      <c r="E4" s="50"/>
      <c r="F4" s="50"/>
      <c r="G4" s="50"/>
      <c r="H4" s="50"/>
      <c r="I4" s="51"/>
      <c r="J4" s="52"/>
      <c r="K4" s="52"/>
      <c r="L4" s="51"/>
      <c r="M4" s="51"/>
      <c r="N4" s="51"/>
      <c r="O4" s="51"/>
      <c r="P4" s="51"/>
      <c r="Q4" s="52"/>
      <c r="R4" s="52"/>
      <c r="S4" s="51"/>
      <c r="T4" s="51"/>
      <c r="U4" s="51"/>
      <c r="V4" s="51"/>
      <c r="W4" s="51"/>
      <c r="X4" s="52"/>
      <c r="Y4" s="52"/>
      <c r="Z4" s="51"/>
      <c r="AA4" s="51"/>
      <c r="AB4" s="51"/>
      <c r="AC4" s="51"/>
      <c r="AD4" s="51"/>
      <c r="AE4" s="52"/>
      <c r="AF4" s="52"/>
      <c r="AG4" s="51"/>
      <c r="AH4" s="51"/>
      <c r="AI4" s="51"/>
      <c r="AJ4" s="51"/>
      <c r="AK4" s="51"/>
      <c r="AL4" s="52"/>
      <c r="AM4" s="52"/>
      <c r="AN4" s="51"/>
      <c r="AO4" s="51"/>
      <c r="AP4" s="51"/>
      <c r="AQ4" s="51"/>
      <c r="AR4" s="51"/>
      <c r="AS4" s="52"/>
      <c r="AT4" s="52"/>
      <c r="AU4" s="51"/>
      <c r="AV4" s="51"/>
      <c r="AW4" s="51"/>
      <c r="AX4" s="51"/>
      <c r="AY4" s="51"/>
      <c r="AZ4" s="52"/>
      <c r="BA4" s="52"/>
      <c r="BB4" s="51"/>
      <c r="BC4" s="51"/>
      <c r="BD4" s="51"/>
      <c r="BE4" s="51"/>
      <c r="BF4" s="51"/>
      <c r="BG4" s="52"/>
      <c r="BH4" s="52"/>
      <c r="BI4" s="51"/>
      <c r="BJ4" s="51"/>
      <c r="BK4" s="51"/>
      <c r="BL4" s="51"/>
      <c r="BM4" s="51"/>
      <c r="BN4" s="52"/>
      <c r="BO4" s="52"/>
    </row>
    <row r="5" spans="1:67" ht="22.05" customHeight="1" x14ac:dyDescent="0.25">
      <c r="A5" s="53">
        <v>2</v>
      </c>
      <c r="B5" s="53" t="s">
        <v>100</v>
      </c>
      <c r="C5" s="54" t="s">
        <v>102</v>
      </c>
      <c r="D5" s="55" t="s">
        <v>19</v>
      </c>
      <c r="E5" s="51"/>
      <c r="F5" s="51"/>
      <c r="G5" s="50"/>
      <c r="H5" s="50"/>
      <c r="I5" s="50"/>
      <c r="J5" s="50"/>
      <c r="K5" s="50"/>
      <c r="L5" s="51"/>
      <c r="M5" s="51"/>
      <c r="N5" s="51"/>
      <c r="O5" s="51"/>
      <c r="P5" s="51"/>
      <c r="Q5" s="52"/>
      <c r="R5" s="52"/>
      <c r="S5" s="51"/>
      <c r="T5" s="51"/>
      <c r="U5" s="51"/>
      <c r="V5" s="51"/>
      <c r="W5" s="51"/>
      <c r="X5" s="52"/>
      <c r="Y5" s="52"/>
      <c r="Z5" s="51"/>
      <c r="AA5" s="51"/>
      <c r="AB5" s="51"/>
      <c r="AC5" s="51"/>
      <c r="AD5" s="51"/>
      <c r="AE5" s="52"/>
      <c r="AF5" s="52"/>
      <c r="AG5" s="51"/>
      <c r="AH5" s="51"/>
      <c r="AI5" s="51"/>
      <c r="AJ5" s="51"/>
      <c r="AK5" s="51"/>
      <c r="AL5" s="52"/>
      <c r="AM5" s="52"/>
      <c r="AN5" s="51"/>
      <c r="AO5" s="51"/>
      <c r="AP5" s="51"/>
      <c r="AQ5" s="51"/>
      <c r="AR5" s="51"/>
      <c r="AS5" s="52"/>
      <c r="AT5" s="52"/>
      <c r="AU5" s="51"/>
      <c r="AV5" s="51"/>
      <c r="AW5" s="51"/>
      <c r="AX5" s="51"/>
      <c r="AY5" s="51"/>
      <c r="AZ5" s="52"/>
      <c r="BA5" s="52"/>
      <c r="BB5" s="51"/>
      <c r="BC5" s="51"/>
      <c r="BD5" s="51"/>
      <c r="BE5" s="51"/>
      <c r="BF5" s="51"/>
      <c r="BG5" s="52"/>
      <c r="BH5" s="52"/>
      <c r="BI5" s="51"/>
      <c r="BJ5" s="51"/>
      <c r="BK5" s="51"/>
      <c r="BL5" s="51"/>
      <c r="BM5" s="51"/>
      <c r="BN5" s="52"/>
      <c r="BO5" s="52"/>
    </row>
    <row r="6" spans="1:67" ht="22.05" customHeight="1" x14ac:dyDescent="0.25">
      <c r="A6" s="47">
        <v>3</v>
      </c>
      <c r="B6" s="47" t="s">
        <v>106</v>
      </c>
      <c r="C6" s="48" t="s">
        <v>108</v>
      </c>
      <c r="D6" s="49" t="s">
        <v>17</v>
      </c>
      <c r="E6" s="50"/>
      <c r="F6" s="50"/>
      <c r="G6" s="50"/>
      <c r="H6" s="50"/>
      <c r="I6" s="50"/>
      <c r="J6" s="52"/>
      <c r="K6" s="52"/>
      <c r="L6" s="51"/>
      <c r="M6" s="51"/>
      <c r="N6" s="51"/>
      <c r="O6" s="51"/>
      <c r="P6" s="51"/>
      <c r="Q6" s="52"/>
      <c r="R6" s="52"/>
      <c r="S6" s="51"/>
      <c r="T6" s="51"/>
      <c r="U6" s="51"/>
      <c r="V6" s="51"/>
      <c r="W6" s="51"/>
      <c r="X6" s="52"/>
      <c r="Y6" s="52"/>
      <c r="Z6" s="51"/>
      <c r="AA6" s="51"/>
      <c r="AB6" s="51"/>
      <c r="AC6" s="51"/>
      <c r="AD6" s="51"/>
      <c r="AE6" s="52"/>
      <c r="AF6" s="52"/>
      <c r="AG6" s="51"/>
      <c r="AH6" s="51"/>
      <c r="AI6" s="51"/>
      <c r="AJ6" s="51"/>
      <c r="AK6" s="51"/>
      <c r="AL6" s="52"/>
      <c r="AM6" s="52"/>
      <c r="AN6" s="51"/>
      <c r="AO6" s="51"/>
      <c r="AP6" s="51"/>
      <c r="AQ6" s="51"/>
      <c r="AR6" s="51"/>
      <c r="AS6" s="52"/>
      <c r="AT6" s="52"/>
      <c r="AU6" s="51"/>
      <c r="AV6" s="51"/>
      <c r="AW6" s="51"/>
      <c r="AX6" s="51"/>
      <c r="AY6" s="51"/>
      <c r="AZ6" s="52"/>
      <c r="BA6" s="52"/>
      <c r="BB6" s="51"/>
      <c r="BC6" s="51"/>
      <c r="BD6" s="51"/>
      <c r="BE6" s="51"/>
      <c r="BF6" s="51"/>
      <c r="BG6" s="52"/>
      <c r="BH6" s="52"/>
      <c r="BI6" s="51"/>
      <c r="BJ6" s="51"/>
      <c r="BK6" s="51"/>
      <c r="BL6" s="51"/>
      <c r="BM6" s="51"/>
      <c r="BN6" s="52"/>
      <c r="BO6" s="52"/>
    </row>
    <row r="7" spans="1:67" ht="22.05" customHeight="1" x14ac:dyDescent="0.25">
      <c r="A7" s="53">
        <v>4</v>
      </c>
      <c r="B7" s="53" t="s">
        <v>113</v>
      </c>
      <c r="C7" s="54" t="s">
        <v>114</v>
      </c>
      <c r="D7" s="55" t="s">
        <v>21</v>
      </c>
      <c r="E7" s="50"/>
      <c r="F7" s="50"/>
      <c r="G7" s="50"/>
      <c r="H7" s="50"/>
      <c r="I7" s="51"/>
      <c r="J7" s="52"/>
      <c r="K7" s="52"/>
      <c r="L7" s="51"/>
      <c r="M7" s="51"/>
      <c r="N7" s="51"/>
      <c r="O7" s="51"/>
      <c r="P7" s="51"/>
      <c r="Q7" s="52"/>
      <c r="R7" s="52"/>
      <c r="S7" s="51"/>
      <c r="T7" s="51"/>
      <c r="U7" s="51"/>
      <c r="V7" s="51"/>
      <c r="W7" s="51"/>
      <c r="X7" s="52"/>
      <c r="Y7" s="52"/>
      <c r="Z7" s="51"/>
      <c r="AA7" s="51"/>
      <c r="AB7" s="51"/>
      <c r="AC7" s="51"/>
      <c r="AD7" s="51"/>
      <c r="AE7" s="52"/>
      <c r="AF7" s="52"/>
      <c r="AG7" s="51"/>
      <c r="AH7" s="51"/>
      <c r="AI7" s="51"/>
      <c r="AJ7" s="51"/>
      <c r="AK7" s="51"/>
      <c r="AL7" s="52"/>
      <c r="AM7" s="52"/>
      <c r="AN7" s="51"/>
      <c r="AO7" s="51"/>
      <c r="AP7" s="51"/>
      <c r="AQ7" s="51"/>
      <c r="AR7" s="51"/>
      <c r="AS7" s="52"/>
      <c r="AT7" s="52"/>
      <c r="AU7" s="51"/>
      <c r="AV7" s="51"/>
      <c r="AW7" s="51"/>
      <c r="AX7" s="51"/>
      <c r="AY7" s="51"/>
      <c r="AZ7" s="52"/>
      <c r="BA7" s="52"/>
      <c r="BB7" s="51"/>
      <c r="BC7" s="51"/>
      <c r="BD7" s="51"/>
      <c r="BE7" s="51"/>
      <c r="BF7" s="51"/>
      <c r="BG7" s="52"/>
      <c r="BH7" s="52"/>
      <c r="BI7" s="51"/>
      <c r="BJ7" s="51"/>
      <c r="BK7" s="51"/>
      <c r="BL7" s="51"/>
      <c r="BM7" s="51"/>
      <c r="BN7" s="52"/>
      <c r="BO7" s="52"/>
    </row>
    <row r="8" spans="1:67" ht="22.05" customHeight="1" x14ac:dyDescent="0.25">
      <c r="A8" s="47">
        <v>5</v>
      </c>
      <c r="B8" s="47" t="s">
        <v>118</v>
      </c>
      <c r="C8" s="48" t="s">
        <v>120</v>
      </c>
      <c r="D8" s="49" t="s">
        <v>19</v>
      </c>
      <c r="E8" s="51"/>
      <c r="F8" s="51"/>
      <c r="G8" s="51"/>
      <c r="H8" s="51"/>
      <c r="I8" s="51"/>
      <c r="J8" s="52"/>
      <c r="K8" s="52"/>
      <c r="L8" s="50"/>
      <c r="M8" s="50"/>
      <c r="N8" s="50"/>
      <c r="O8" s="50"/>
      <c r="P8" s="51"/>
      <c r="Q8" s="52"/>
      <c r="R8" s="52"/>
      <c r="S8" s="51"/>
      <c r="T8" s="51"/>
      <c r="U8" s="51"/>
      <c r="V8" s="51"/>
      <c r="W8" s="51"/>
      <c r="X8" s="52"/>
      <c r="Y8" s="52"/>
      <c r="Z8" s="51"/>
      <c r="AA8" s="51"/>
      <c r="AB8" s="51"/>
      <c r="AC8" s="51"/>
      <c r="AD8" s="51"/>
      <c r="AE8" s="52"/>
      <c r="AF8" s="52"/>
      <c r="AG8" s="51"/>
      <c r="AH8" s="51"/>
      <c r="AI8" s="51"/>
      <c r="AJ8" s="51"/>
      <c r="AK8" s="51"/>
      <c r="AL8" s="52"/>
      <c r="AM8" s="52"/>
      <c r="AN8" s="51"/>
      <c r="AO8" s="51"/>
      <c r="AP8" s="51"/>
      <c r="AQ8" s="51"/>
      <c r="AR8" s="51"/>
      <c r="AS8" s="52"/>
      <c r="AT8" s="52"/>
      <c r="AU8" s="51"/>
      <c r="AV8" s="51"/>
      <c r="AW8" s="51"/>
      <c r="AX8" s="51"/>
      <c r="AY8" s="51"/>
      <c r="AZ8" s="52"/>
      <c r="BA8" s="52"/>
      <c r="BB8" s="51"/>
      <c r="BC8" s="51"/>
      <c r="BD8" s="51"/>
      <c r="BE8" s="51"/>
      <c r="BF8" s="51"/>
      <c r="BG8" s="52"/>
      <c r="BH8" s="52"/>
      <c r="BI8" s="51"/>
      <c r="BJ8" s="51"/>
      <c r="BK8" s="51"/>
      <c r="BL8" s="51"/>
      <c r="BM8" s="51"/>
      <c r="BN8" s="52"/>
      <c r="BO8" s="52"/>
    </row>
    <row r="9" spans="1:67" ht="22.05" customHeight="1" x14ac:dyDescent="0.25">
      <c r="A9" s="53">
        <v>6</v>
      </c>
      <c r="B9" s="53" t="s">
        <v>124</v>
      </c>
      <c r="C9" s="54" t="s">
        <v>126</v>
      </c>
      <c r="D9" s="55" t="s">
        <v>17</v>
      </c>
      <c r="E9" s="51"/>
      <c r="F9" s="51"/>
      <c r="G9" s="51"/>
      <c r="H9" s="51"/>
      <c r="I9" s="51"/>
      <c r="J9" s="52"/>
      <c r="K9" s="52"/>
      <c r="L9" s="50"/>
      <c r="M9" s="50"/>
      <c r="N9" s="50"/>
      <c r="O9" s="50"/>
      <c r="P9" s="50"/>
      <c r="Q9" s="50"/>
      <c r="R9" s="52"/>
      <c r="S9" s="51"/>
      <c r="T9" s="51"/>
      <c r="U9" s="51"/>
      <c r="V9" s="51"/>
      <c r="W9" s="51"/>
      <c r="X9" s="52"/>
      <c r="Y9" s="52"/>
      <c r="Z9" s="51"/>
      <c r="AA9" s="51"/>
      <c r="AB9" s="51"/>
      <c r="AC9" s="51"/>
      <c r="AD9" s="51"/>
      <c r="AE9" s="52"/>
      <c r="AF9" s="52"/>
      <c r="AG9" s="51"/>
      <c r="AH9" s="51"/>
      <c r="AI9" s="51"/>
      <c r="AJ9" s="51"/>
      <c r="AK9" s="51"/>
      <c r="AL9" s="52"/>
      <c r="AM9" s="52"/>
      <c r="AN9" s="51"/>
      <c r="AO9" s="51"/>
      <c r="AP9" s="51"/>
      <c r="AQ9" s="51"/>
      <c r="AR9" s="51"/>
      <c r="AS9" s="52"/>
      <c r="AT9" s="52"/>
      <c r="AU9" s="51"/>
      <c r="AV9" s="51"/>
      <c r="AW9" s="51"/>
      <c r="AX9" s="51"/>
      <c r="AY9" s="51"/>
      <c r="AZ9" s="52"/>
      <c r="BA9" s="52"/>
      <c r="BB9" s="51"/>
      <c r="BC9" s="51"/>
      <c r="BD9" s="51"/>
      <c r="BE9" s="51"/>
      <c r="BF9" s="51"/>
      <c r="BG9" s="52"/>
      <c r="BH9" s="52"/>
      <c r="BI9" s="51"/>
      <c r="BJ9" s="51"/>
      <c r="BK9" s="51"/>
      <c r="BL9" s="51"/>
      <c r="BM9" s="51"/>
      <c r="BN9" s="52"/>
      <c r="BO9" s="52"/>
    </row>
    <row r="10" spans="1:67" ht="22.05" customHeight="1" x14ac:dyDescent="0.25">
      <c r="A10" s="47">
        <v>7</v>
      </c>
      <c r="B10" s="47" t="s">
        <v>130</v>
      </c>
      <c r="C10" s="48" t="s">
        <v>132</v>
      </c>
      <c r="D10" s="49" t="s">
        <v>21</v>
      </c>
      <c r="E10" s="51"/>
      <c r="F10" s="51"/>
      <c r="G10" s="51"/>
      <c r="H10" s="51"/>
      <c r="I10" s="51"/>
      <c r="J10" s="52"/>
      <c r="K10" s="52"/>
      <c r="L10" s="50"/>
      <c r="M10" s="50"/>
      <c r="N10" s="50"/>
      <c r="O10" s="50"/>
      <c r="P10" s="50"/>
      <c r="Q10" s="50"/>
      <c r="R10" s="52"/>
      <c r="S10" s="51"/>
      <c r="T10" s="51"/>
      <c r="U10" s="51"/>
      <c r="V10" s="51"/>
      <c r="W10" s="51"/>
      <c r="X10" s="52"/>
      <c r="Y10" s="52"/>
      <c r="Z10" s="51"/>
      <c r="AA10" s="51"/>
      <c r="AB10" s="51"/>
      <c r="AC10" s="51"/>
      <c r="AD10" s="51"/>
      <c r="AE10" s="52"/>
      <c r="AF10" s="52"/>
      <c r="AG10" s="51"/>
      <c r="AH10" s="51"/>
      <c r="AI10" s="51"/>
      <c r="AJ10" s="51"/>
      <c r="AK10" s="51"/>
      <c r="AL10" s="52"/>
      <c r="AM10" s="52"/>
      <c r="AN10" s="51"/>
      <c r="AO10" s="51"/>
      <c r="AP10" s="51"/>
      <c r="AQ10" s="51"/>
      <c r="AR10" s="51"/>
      <c r="AS10" s="52"/>
      <c r="AT10" s="52"/>
      <c r="AU10" s="51"/>
      <c r="AV10" s="51"/>
      <c r="AW10" s="51"/>
      <c r="AX10" s="51"/>
      <c r="AY10" s="51"/>
      <c r="AZ10" s="52"/>
      <c r="BA10" s="52"/>
      <c r="BB10" s="51"/>
      <c r="BC10" s="51"/>
      <c r="BD10" s="51"/>
      <c r="BE10" s="51"/>
      <c r="BF10" s="51"/>
      <c r="BG10" s="52"/>
      <c r="BH10" s="52"/>
      <c r="BI10" s="51"/>
      <c r="BJ10" s="51"/>
      <c r="BK10" s="51"/>
      <c r="BL10" s="51"/>
      <c r="BM10" s="51"/>
      <c r="BN10" s="52"/>
      <c r="BO10" s="52"/>
    </row>
    <row r="11" spans="1:67" ht="22.05" customHeight="1" x14ac:dyDescent="0.25">
      <c r="A11" s="53">
        <v>8</v>
      </c>
      <c r="B11" s="53" t="s">
        <v>136</v>
      </c>
      <c r="C11" s="54" t="s">
        <v>137</v>
      </c>
      <c r="D11" s="55" t="s">
        <v>139</v>
      </c>
      <c r="E11" s="51"/>
      <c r="F11" s="51"/>
      <c r="G11" s="51"/>
      <c r="H11" s="51"/>
      <c r="I11" s="51"/>
      <c r="J11" s="52"/>
      <c r="K11" s="52"/>
      <c r="L11" s="51"/>
      <c r="M11" s="51"/>
      <c r="N11" s="50"/>
      <c r="O11" s="50"/>
      <c r="P11" s="51"/>
      <c r="Q11" s="52"/>
      <c r="R11" s="52"/>
      <c r="S11" s="51"/>
      <c r="T11" s="51"/>
      <c r="U11" s="51"/>
      <c r="V11" s="51"/>
      <c r="W11" s="51"/>
      <c r="X11" s="52"/>
      <c r="Y11" s="52"/>
      <c r="Z11" s="51"/>
      <c r="AA11" s="51"/>
      <c r="AB11" s="51"/>
      <c r="AC11" s="51"/>
      <c r="AD11" s="51"/>
      <c r="AE11" s="52"/>
      <c r="AF11" s="52"/>
      <c r="AG11" s="51"/>
      <c r="AH11" s="51"/>
      <c r="AI11" s="51"/>
      <c r="AJ11" s="51"/>
      <c r="AK11" s="51"/>
      <c r="AL11" s="52"/>
      <c r="AM11" s="52"/>
      <c r="AN11" s="51"/>
      <c r="AO11" s="51"/>
      <c r="AP11" s="51"/>
      <c r="AQ11" s="51"/>
      <c r="AR11" s="51"/>
      <c r="AS11" s="52"/>
      <c r="AT11" s="52"/>
      <c r="AU11" s="51"/>
      <c r="AV11" s="51"/>
      <c r="AW11" s="51"/>
      <c r="AX11" s="51"/>
      <c r="AY11" s="51"/>
      <c r="AZ11" s="52"/>
      <c r="BA11" s="52"/>
      <c r="BB11" s="51"/>
      <c r="BC11" s="51"/>
      <c r="BD11" s="51"/>
      <c r="BE11" s="51"/>
      <c r="BF11" s="51"/>
      <c r="BG11" s="52"/>
      <c r="BH11" s="52"/>
      <c r="BI11" s="51"/>
      <c r="BJ11" s="51"/>
      <c r="BK11" s="51"/>
      <c r="BL11" s="51"/>
      <c r="BM11" s="51"/>
      <c r="BN11" s="52"/>
      <c r="BO11" s="52"/>
    </row>
    <row r="12" spans="1:67" ht="22.05" customHeight="1" x14ac:dyDescent="0.25">
      <c r="A12" s="47">
        <v>9</v>
      </c>
      <c r="B12" s="47" t="s">
        <v>142</v>
      </c>
      <c r="C12" s="48" t="s">
        <v>145</v>
      </c>
      <c r="D12" s="49" t="s">
        <v>17</v>
      </c>
      <c r="E12" s="51"/>
      <c r="F12" s="51"/>
      <c r="G12" s="51"/>
      <c r="H12" s="51"/>
      <c r="I12" s="51"/>
      <c r="J12" s="52"/>
      <c r="K12" s="52"/>
      <c r="L12" s="51"/>
      <c r="M12" s="51"/>
      <c r="N12" s="51"/>
      <c r="O12" s="51"/>
      <c r="P12" s="51"/>
      <c r="Q12" s="52"/>
      <c r="R12" s="52"/>
      <c r="S12" s="56"/>
      <c r="T12" s="56"/>
      <c r="U12" s="56"/>
      <c r="V12" s="56"/>
      <c r="W12" s="56"/>
      <c r="X12" s="52"/>
      <c r="Y12" s="52"/>
      <c r="Z12" s="51"/>
      <c r="AA12" s="51"/>
      <c r="AB12" s="51"/>
      <c r="AC12" s="51"/>
      <c r="AD12" s="51"/>
      <c r="AE12" s="52"/>
      <c r="AF12" s="52"/>
      <c r="AG12" s="51"/>
      <c r="AH12" s="51"/>
      <c r="AI12" s="51"/>
      <c r="AJ12" s="51"/>
      <c r="AK12" s="51"/>
      <c r="AL12" s="52"/>
      <c r="AM12" s="52"/>
      <c r="AN12" s="51"/>
      <c r="AO12" s="51"/>
      <c r="AP12" s="51"/>
      <c r="AQ12" s="51"/>
      <c r="AR12" s="51"/>
      <c r="AS12" s="52"/>
      <c r="AT12" s="52"/>
      <c r="AU12" s="51"/>
      <c r="AV12" s="51"/>
      <c r="AW12" s="51"/>
      <c r="AX12" s="51"/>
      <c r="AY12" s="51"/>
      <c r="AZ12" s="52"/>
      <c r="BA12" s="52"/>
      <c r="BB12" s="51"/>
      <c r="BC12" s="51"/>
      <c r="BD12" s="51"/>
      <c r="BE12" s="51"/>
      <c r="BF12" s="51"/>
      <c r="BG12" s="52"/>
      <c r="BH12" s="52"/>
      <c r="BI12" s="51"/>
      <c r="BJ12" s="51"/>
      <c r="BK12" s="51"/>
      <c r="BL12" s="51"/>
      <c r="BM12" s="51"/>
      <c r="BN12" s="52"/>
      <c r="BO12" s="52"/>
    </row>
    <row r="13" spans="1:67" ht="22.05" customHeight="1" x14ac:dyDescent="0.25">
      <c r="A13" s="53">
        <v>10</v>
      </c>
      <c r="B13" s="53" t="s">
        <v>149</v>
      </c>
      <c r="C13" s="54" t="s">
        <v>151</v>
      </c>
      <c r="D13" s="55" t="s">
        <v>17</v>
      </c>
      <c r="E13" s="51"/>
      <c r="F13" s="51"/>
      <c r="G13" s="51"/>
      <c r="H13" s="51"/>
      <c r="I13" s="51"/>
      <c r="J13" s="52"/>
      <c r="K13" s="52"/>
      <c r="L13" s="51"/>
      <c r="M13" s="51"/>
      <c r="N13" s="51"/>
      <c r="O13" s="51"/>
      <c r="P13" s="51"/>
      <c r="Q13" s="52"/>
      <c r="R13" s="52"/>
      <c r="S13" s="51"/>
      <c r="T13" s="51"/>
      <c r="U13" s="51"/>
      <c r="V13" s="56"/>
      <c r="W13" s="56"/>
      <c r="X13" s="56"/>
      <c r="Y13" s="56"/>
      <c r="Z13" s="51"/>
      <c r="AA13" s="51"/>
      <c r="AB13" s="51"/>
      <c r="AC13" s="51"/>
      <c r="AD13" s="51"/>
      <c r="AE13" s="52"/>
      <c r="AF13" s="52"/>
      <c r="AG13" s="51"/>
      <c r="AH13" s="51"/>
      <c r="AI13" s="51"/>
      <c r="AJ13" s="51"/>
      <c r="AK13" s="51"/>
      <c r="AL13" s="52"/>
      <c r="AM13" s="52"/>
      <c r="AN13" s="51"/>
      <c r="AO13" s="51"/>
      <c r="AP13" s="51"/>
      <c r="AQ13" s="51"/>
      <c r="AR13" s="51"/>
      <c r="AS13" s="52"/>
      <c r="AT13" s="52"/>
      <c r="AU13" s="51"/>
      <c r="AV13" s="51"/>
      <c r="AW13" s="51"/>
      <c r="AX13" s="51"/>
      <c r="AY13" s="51"/>
      <c r="AZ13" s="52"/>
      <c r="BA13" s="52"/>
      <c r="BB13" s="51"/>
      <c r="BC13" s="51"/>
      <c r="BD13" s="51"/>
      <c r="BE13" s="51"/>
      <c r="BF13" s="51"/>
      <c r="BG13" s="52"/>
      <c r="BH13" s="52"/>
      <c r="BI13" s="51"/>
      <c r="BJ13" s="51"/>
      <c r="BK13" s="51"/>
      <c r="BL13" s="51"/>
      <c r="BM13" s="51"/>
      <c r="BN13" s="52"/>
      <c r="BO13" s="52"/>
    </row>
    <row r="14" spans="1:67" ht="22.05" customHeight="1" x14ac:dyDescent="0.25">
      <c r="A14" s="47">
        <v>11</v>
      </c>
      <c r="B14" s="47" t="s">
        <v>155</v>
      </c>
      <c r="C14" s="48" t="s">
        <v>381</v>
      </c>
      <c r="D14" s="49" t="s">
        <v>19</v>
      </c>
      <c r="E14" s="51"/>
      <c r="F14" s="51"/>
      <c r="G14" s="51"/>
      <c r="H14" s="51"/>
      <c r="I14" s="51"/>
      <c r="J14" s="52"/>
      <c r="K14" s="52"/>
      <c r="L14" s="51"/>
      <c r="M14" s="51"/>
      <c r="N14" s="51"/>
      <c r="O14" s="51"/>
      <c r="P14" s="51"/>
      <c r="Q14" s="52"/>
      <c r="R14" s="52"/>
      <c r="S14" s="56"/>
      <c r="T14" s="56"/>
      <c r="U14" s="56"/>
      <c r="V14" s="56"/>
      <c r="W14" s="56"/>
      <c r="X14" s="56"/>
      <c r="Y14" s="52"/>
      <c r="Z14" s="51"/>
      <c r="AA14" s="51"/>
      <c r="AB14" s="51"/>
      <c r="AC14" s="51"/>
      <c r="AD14" s="51"/>
      <c r="AE14" s="52"/>
      <c r="AF14" s="52"/>
      <c r="AG14" s="51"/>
      <c r="AH14" s="51"/>
      <c r="AI14" s="51"/>
      <c r="AJ14" s="51"/>
      <c r="AK14" s="51"/>
      <c r="AL14" s="52"/>
      <c r="AM14" s="52"/>
      <c r="AN14" s="51"/>
      <c r="AO14" s="51"/>
      <c r="AP14" s="51"/>
      <c r="AQ14" s="51"/>
      <c r="AR14" s="51"/>
      <c r="AS14" s="52"/>
      <c r="AT14" s="52"/>
      <c r="AU14" s="51"/>
      <c r="AV14" s="51"/>
      <c r="AW14" s="51"/>
      <c r="AX14" s="51"/>
      <c r="AY14" s="51"/>
      <c r="AZ14" s="52"/>
      <c r="BA14" s="52"/>
      <c r="BB14" s="51"/>
      <c r="BC14" s="51"/>
      <c r="BD14" s="51"/>
      <c r="BE14" s="51"/>
      <c r="BF14" s="51"/>
      <c r="BG14" s="52"/>
      <c r="BH14" s="52"/>
      <c r="BI14" s="51"/>
      <c r="BJ14" s="51"/>
      <c r="BK14" s="51"/>
      <c r="BL14" s="51"/>
      <c r="BM14" s="51"/>
      <c r="BN14" s="52"/>
      <c r="BO14" s="52"/>
    </row>
    <row r="15" spans="1:67" ht="22.05" customHeight="1" x14ac:dyDescent="0.25">
      <c r="A15" s="53">
        <v>12</v>
      </c>
      <c r="B15" s="53" t="s">
        <v>159</v>
      </c>
      <c r="C15" s="54" t="s">
        <v>160</v>
      </c>
      <c r="D15" s="55" t="s">
        <v>21</v>
      </c>
      <c r="E15" s="51"/>
      <c r="F15" s="51"/>
      <c r="G15" s="51"/>
      <c r="H15" s="51"/>
      <c r="I15" s="51"/>
      <c r="J15" s="52"/>
      <c r="K15" s="52"/>
      <c r="L15" s="51"/>
      <c r="M15" s="51"/>
      <c r="N15" s="51"/>
      <c r="O15" s="51"/>
      <c r="P15" s="51"/>
      <c r="Q15" s="52"/>
      <c r="R15" s="52"/>
      <c r="S15" s="56"/>
      <c r="T15" s="56"/>
      <c r="U15" s="56"/>
      <c r="V15" s="56"/>
      <c r="W15" s="56"/>
      <c r="X15" s="52"/>
      <c r="Y15" s="52"/>
      <c r="Z15" s="51"/>
      <c r="AA15" s="51"/>
      <c r="AB15" s="51"/>
      <c r="AC15" s="51"/>
      <c r="AD15" s="51"/>
      <c r="AE15" s="52"/>
      <c r="AF15" s="52"/>
      <c r="AG15" s="51"/>
      <c r="AH15" s="51"/>
      <c r="AI15" s="51"/>
      <c r="AJ15" s="51"/>
      <c r="AK15" s="51"/>
      <c r="AL15" s="52"/>
      <c r="AM15" s="52"/>
      <c r="AN15" s="51"/>
      <c r="AO15" s="51"/>
      <c r="AP15" s="51"/>
      <c r="AQ15" s="51"/>
      <c r="AR15" s="51"/>
      <c r="AS15" s="52"/>
      <c r="AT15" s="52"/>
      <c r="AU15" s="51"/>
      <c r="AV15" s="51"/>
      <c r="AW15" s="51"/>
      <c r="AX15" s="51"/>
      <c r="AY15" s="51"/>
      <c r="AZ15" s="52"/>
      <c r="BA15" s="52"/>
      <c r="BB15" s="51"/>
      <c r="BC15" s="51"/>
      <c r="BD15" s="51"/>
      <c r="BE15" s="51"/>
      <c r="BF15" s="51"/>
      <c r="BG15" s="52"/>
      <c r="BH15" s="52"/>
      <c r="BI15" s="51"/>
      <c r="BJ15" s="51"/>
      <c r="BK15" s="51"/>
      <c r="BL15" s="51"/>
      <c r="BM15" s="51"/>
      <c r="BN15" s="52"/>
      <c r="BO15" s="52"/>
    </row>
    <row r="16" spans="1:67" ht="22.05" customHeight="1" x14ac:dyDescent="0.25">
      <c r="A16" s="47">
        <v>13</v>
      </c>
      <c r="B16" s="47" t="s">
        <v>165</v>
      </c>
      <c r="C16" s="48" t="s">
        <v>168</v>
      </c>
      <c r="D16" s="49" t="s">
        <v>17</v>
      </c>
      <c r="E16" s="51"/>
      <c r="F16" s="51"/>
      <c r="G16" s="51"/>
      <c r="H16" s="51"/>
      <c r="I16" s="51"/>
      <c r="J16" s="52"/>
      <c r="K16" s="52"/>
      <c r="L16" s="51"/>
      <c r="M16" s="51"/>
      <c r="N16" s="51"/>
      <c r="O16" s="51"/>
      <c r="P16" s="51"/>
      <c r="Q16" s="52"/>
      <c r="R16" s="52"/>
      <c r="S16" s="51"/>
      <c r="T16" s="51"/>
      <c r="U16" s="51"/>
      <c r="V16" s="51"/>
      <c r="W16" s="51"/>
      <c r="X16" s="52"/>
      <c r="Y16" s="52"/>
      <c r="Z16" s="56"/>
      <c r="AA16" s="56"/>
      <c r="AB16" s="56"/>
      <c r="AC16" s="56"/>
      <c r="AD16" s="51"/>
      <c r="AE16" s="52"/>
      <c r="AF16" s="52"/>
      <c r="AG16" s="51"/>
      <c r="AH16" s="51"/>
      <c r="AI16" s="51"/>
      <c r="AJ16" s="51"/>
      <c r="AK16" s="51"/>
      <c r="AL16" s="52"/>
      <c r="AM16" s="52"/>
      <c r="AN16" s="51"/>
      <c r="AO16" s="51"/>
      <c r="AP16" s="51"/>
      <c r="AQ16" s="51"/>
      <c r="AR16" s="51"/>
      <c r="AS16" s="52"/>
      <c r="AT16" s="52"/>
      <c r="AU16" s="51"/>
      <c r="AV16" s="51"/>
      <c r="AW16" s="51"/>
      <c r="AX16" s="51"/>
      <c r="AY16" s="51"/>
      <c r="AZ16" s="52"/>
      <c r="BA16" s="52"/>
      <c r="BB16" s="51"/>
      <c r="BC16" s="51"/>
      <c r="BD16" s="51"/>
      <c r="BE16" s="51"/>
      <c r="BF16" s="51"/>
      <c r="BG16" s="52"/>
      <c r="BH16" s="52"/>
      <c r="BI16" s="51"/>
      <c r="BJ16" s="51"/>
      <c r="BK16" s="51"/>
      <c r="BL16" s="51"/>
      <c r="BM16" s="51"/>
      <c r="BN16" s="52"/>
      <c r="BO16" s="52"/>
    </row>
    <row r="17" spans="1:67" ht="22.05" customHeight="1" x14ac:dyDescent="0.25">
      <c r="A17" s="53">
        <v>14</v>
      </c>
      <c r="B17" s="53" t="s">
        <v>172</v>
      </c>
      <c r="C17" s="54" t="s">
        <v>174</v>
      </c>
      <c r="D17" s="55" t="s">
        <v>19</v>
      </c>
      <c r="E17" s="51"/>
      <c r="F17" s="51"/>
      <c r="G17" s="51"/>
      <c r="H17" s="51"/>
      <c r="I17" s="51"/>
      <c r="J17" s="52"/>
      <c r="K17" s="52"/>
      <c r="L17" s="51"/>
      <c r="M17" s="51"/>
      <c r="N17" s="51"/>
      <c r="O17" s="51"/>
      <c r="P17" s="51"/>
      <c r="Q17" s="52"/>
      <c r="R17" s="52"/>
      <c r="S17" s="51"/>
      <c r="T17" s="51"/>
      <c r="U17" s="51"/>
      <c r="V17" s="51"/>
      <c r="W17" s="51"/>
      <c r="X17" s="52"/>
      <c r="Y17" s="52"/>
      <c r="Z17" s="56"/>
      <c r="AA17" s="56"/>
      <c r="AB17" s="56"/>
      <c r="AC17" s="56"/>
      <c r="AD17" s="56"/>
      <c r="AE17" s="56"/>
      <c r="AF17" s="52"/>
      <c r="AG17" s="51"/>
      <c r="AH17" s="51"/>
      <c r="AI17" s="51"/>
      <c r="AJ17" s="51"/>
      <c r="AK17" s="51"/>
      <c r="AL17" s="52"/>
      <c r="AM17" s="52"/>
      <c r="AN17" s="51"/>
      <c r="AO17" s="51"/>
      <c r="AP17" s="51"/>
      <c r="AQ17" s="51"/>
      <c r="AR17" s="51"/>
      <c r="AS17" s="52"/>
      <c r="AT17" s="52"/>
      <c r="AU17" s="51"/>
      <c r="AV17" s="51"/>
      <c r="AW17" s="51"/>
      <c r="AX17" s="51"/>
      <c r="AY17" s="51"/>
      <c r="AZ17" s="52"/>
      <c r="BA17" s="52"/>
      <c r="BB17" s="51"/>
      <c r="BC17" s="51"/>
      <c r="BD17" s="51"/>
      <c r="BE17" s="51"/>
      <c r="BF17" s="51"/>
      <c r="BG17" s="52"/>
      <c r="BH17" s="52"/>
      <c r="BI17" s="51"/>
      <c r="BJ17" s="51"/>
      <c r="BK17" s="51"/>
      <c r="BL17" s="51"/>
      <c r="BM17" s="51"/>
      <c r="BN17" s="52"/>
      <c r="BO17" s="52"/>
    </row>
    <row r="18" spans="1:67" ht="22.05" customHeight="1" x14ac:dyDescent="0.25">
      <c r="A18" s="47">
        <v>15</v>
      </c>
      <c r="B18" s="47" t="s">
        <v>179</v>
      </c>
      <c r="C18" s="48" t="s">
        <v>181</v>
      </c>
      <c r="D18" s="49" t="s">
        <v>21</v>
      </c>
      <c r="E18" s="51"/>
      <c r="F18" s="51"/>
      <c r="G18" s="51"/>
      <c r="H18" s="51"/>
      <c r="I18" s="51"/>
      <c r="J18" s="52"/>
      <c r="K18" s="52"/>
      <c r="L18" s="51"/>
      <c r="M18" s="51"/>
      <c r="N18" s="51"/>
      <c r="O18" s="51"/>
      <c r="P18" s="51"/>
      <c r="Q18" s="52"/>
      <c r="R18" s="52"/>
      <c r="S18" s="51"/>
      <c r="T18" s="51"/>
      <c r="U18" s="51"/>
      <c r="V18" s="51"/>
      <c r="W18" s="51"/>
      <c r="X18" s="52"/>
      <c r="Y18" s="52"/>
      <c r="Z18" s="51"/>
      <c r="AA18" s="51"/>
      <c r="AB18" s="56"/>
      <c r="AC18" s="56"/>
      <c r="AD18" s="56"/>
      <c r="AE18" s="56"/>
      <c r="AF18" s="56"/>
      <c r="AG18" s="51"/>
      <c r="AH18" s="51"/>
      <c r="AI18" s="51"/>
      <c r="AJ18" s="51"/>
      <c r="AK18" s="51"/>
      <c r="AL18" s="52"/>
      <c r="AM18" s="52"/>
      <c r="AN18" s="51"/>
      <c r="AO18" s="51"/>
      <c r="AP18" s="51"/>
      <c r="AQ18" s="51"/>
      <c r="AR18" s="51"/>
      <c r="AS18" s="52"/>
      <c r="AT18" s="52"/>
      <c r="AU18" s="51"/>
      <c r="AV18" s="51"/>
      <c r="AW18" s="51"/>
      <c r="AX18" s="51"/>
      <c r="AY18" s="51"/>
      <c r="AZ18" s="52"/>
      <c r="BA18" s="52"/>
      <c r="BB18" s="51"/>
      <c r="BC18" s="51"/>
      <c r="BD18" s="51"/>
      <c r="BE18" s="51"/>
      <c r="BF18" s="51"/>
      <c r="BG18" s="52"/>
      <c r="BH18" s="52"/>
      <c r="BI18" s="51"/>
      <c r="BJ18" s="51"/>
      <c r="BK18" s="51"/>
      <c r="BL18" s="51"/>
      <c r="BM18" s="51"/>
      <c r="BN18" s="52"/>
      <c r="BO18" s="52"/>
    </row>
    <row r="19" spans="1:67" ht="22.05" customHeight="1" x14ac:dyDescent="0.25">
      <c r="A19" s="53">
        <v>16</v>
      </c>
      <c r="B19" s="53" t="s">
        <v>185</v>
      </c>
      <c r="C19" s="54" t="s">
        <v>187</v>
      </c>
      <c r="D19" s="55" t="s">
        <v>139</v>
      </c>
      <c r="E19" s="51"/>
      <c r="F19" s="51"/>
      <c r="G19" s="51"/>
      <c r="H19" s="51"/>
      <c r="I19" s="51"/>
      <c r="J19" s="52"/>
      <c r="K19" s="52"/>
      <c r="L19" s="51"/>
      <c r="M19" s="51"/>
      <c r="N19" s="51"/>
      <c r="O19" s="51"/>
      <c r="P19" s="51"/>
      <c r="Q19" s="52"/>
      <c r="R19" s="52"/>
      <c r="S19" s="51"/>
      <c r="T19" s="51"/>
      <c r="U19" s="51"/>
      <c r="V19" s="51"/>
      <c r="W19" s="51"/>
      <c r="X19" s="52"/>
      <c r="Y19" s="52"/>
      <c r="Z19" s="51"/>
      <c r="AA19" s="51"/>
      <c r="AB19" s="51"/>
      <c r="AC19" s="51"/>
      <c r="AD19" s="51"/>
      <c r="AE19" s="56"/>
      <c r="AF19" s="57" t="s">
        <v>288</v>
      </c>
      <c r="AG19" s="51"/>
      <c r="AH19" s="51"/>
      <c r="AI19" s="51"/>
      <c r="AJ19" s="51"/>
      <c r="AK19" s="51"/>
      <c r="AL19" s="52"/>
      <c r="AM19" s="52"/>
      <c r="AN19" s="51"/>
      <c r="AO19" s="51"/>
      <c r="AP19" s="51"/>
      <c r="AQ19" s="51"/>
      <c r="AR19" s="51"/>
      <c r="AS19" s="52"/>
      <c r="AT19" s="52"/>
      <c r="AU19" s="51"/>
      <c r="AV19" s="51"/>
      <c r="AW19" s="51"/>
      <c r="AX19" s="51"/>
      <c r="AY19" s="51"/>
      <c r="AZ19" s="52"/>
      <c r="BA19" s="52"/>
      <c r="BB19" s="51"/>
      <c r="BC19" s="51"/>
      <c r="BD19" s="51"/>
      <c r="BE19" s="51"/>
      <c r="BF19" s="51"/>
      <c r="BG19" s="52"/>
      <c r="BH19" s="52"/>
      <c r="BI19" s="51"/>
      <c r="BJ19" s="51"/>
      <c r="BK19" s="51"/>
      <c r="BL19" s="51"/>
      <c r="BM19" s="51"/>
      <c r="BN19" s="52"/>
      <c r="BO19" s="52"/>
    </row>
    <row r="20" spans="1:67" ht="22.05" customHeight="1" x14ac:dyDescent="0.25">
      <c r="A20" s="47">
        <v>17</v>
      </c>
      <c r="B20" s="47" t="s">
        <v>192</v>
      </c>
      <c r="C20" s="48" t="s">
        <v>194</v>
      </c>
      <c r="D20" s="49" t="s">
        <v>139</v>
      </c>
      <c r="E20" s="51"/>
      <c r="F20" s="51"/>
      <c r="G20" s="51"/>
      <c r="H20" s="51"/>
      <c r="I20" s="51"/>
      <c r="J20" s="52"/>
      <c r="K20" s="52"/>
      <c r="L20" s="51"/>
      <c r="M20" s="51"/>
      <c r="N20" s="51"/>
      <c r="O20" s="51"/>
      <c r="P20" s="51"/>
      <c r="Q20" s="52"/>
      <c r="R20" s="52"/>
      <c r="S20" s="51"/>
      <c r="T20" s="51"/>
      <c r="U20" s="51"/>
      <c r="V20" s="51"/>
      <c r="W20" s="51"/>
      <c r="X20" s="52"/>
      <c r="Y20" s="52"/>
      <c r="Z20" s="51"/>
      <c r="AA20" s="51"/>
      <c r="AB20" s="51"/>
      <c r="AC20" s="51"/>
      <c r="AD20" s="51"/>
      <c r="AE20" s="52"/>
      <c r="AF20" s="52"/>
      <c r="AG20" s="58"/>
      <c r="AH20" s="58"/>
      <c r="AI20" s="58"/>
      <c r="AJ20" s="58"/>
      <c r="AK20" s="51"/>
      <c r="AL20" s="52"/>
      <c r="AM20" s="52"/>
      <c r="AN20" s="51"/>
      <c r="AO20" s="51"/>
      <c r="AP20" s="51"/>
      <c r="AQ20" s="51"/>
      <c r="AR20" s="51"/>
      <c r="AS20" s="52"/>
      <c r="AT20" s="52"/>
      <c r="AU20" s="51"/>
      <c r="AV20" s="51"/>
      <c r="AW20" s="51"/>
      <c r="AX20" s="51"/>
      <c r="AY20" s="51"/>
      <c r="AZ20" s="52"/>
      <c r="BA20" s="52"/>
      <c r="BB20" s="51"/>
      <c r="BC20" s="51"/>
      <c r="BD20" s="51"/>
      <c r="BE20" s="51"/>
      <c r="BF20" s="51"/>
      <c r="BG20" s="52"/>
      <c r="BH20" s="52"/>
      <c r="BI20" s="51"/>
      <c r="BJ20" s="51"/>
      <c r="BK20" s="51"/>
      <c r="BL20" s="51"/>
      <c r="BM20" s="51"/>
      <c r="BN20" s="52"/>
      <c r="BO20" s="52"/>
    </row>
    <row r="21" spans="1:67" ht="22.05" customHeight="1" x14ac:dyDescent="0.25">
      <c r="A21" s="53">
        <v>18</v>
      </c>
      <c r="B21" s="53" t="s">
        <v>198</v>
      </c>
      <c r="C21" s="54" t="s">
        <v>200</v>
      </c>
      <c r="D21" s="55" t="s">
        <v>21</v>
      </c>
      <c r="E21" s="51"/>
      <c r="F21" s="51"/>
      <c r="G21" s="51"/>
      <c r="H21" s="51"/>
      <c r="I21" s="51"/>
      <c r="J21" s="52"/>
      <c r="K21" s="52"/>
      <c r="L21" s="51"/>
      <c r="M21" s="51"/>
      <c r="N21" s="51"/>
      <c r="O21" s="51"/>
      <c r="P21" s="51"/>
      <c r="Q21" s="52"/>
      <c r="R21" s="52"/>
      <c r="S21" s="51"/>
      <c r="T21" s="51"/>
      <c r="U21" s="51"/>
      <c r="V21" s="51"/>
      <c r="W21" s="51"/>
      <c r="X21" s="52"/>
      <c r="Y21" s="52"/>
      <c r="Z21" s="51"/>
      <c r="AA21" s="51"/>
      <c r="AB21" s="51"/>
      <c r="AC21" s="51"/>
      <c r="AD21" s="51"/>
      <c r="AE21" s="52"/>
      <c r="AF21" s="52"/>
      <c r="AG21" s="51"/>
      <c r="AH21" s="51"/>
      <c r="AI21" s="58"/>
      <c r="AJ21" s="58"/>
      <c r="AK21" s="58"/>
      <c r="AL21" s="58"/>
      <c r="AM21" s="52"/>
      <c r="AN21" s="51"/>
      <c r="AO21" s="51"/>
      <c r="AP21" s="51"/>
      <c r="AQ21" s="51"/>
      <c r="AR21" s="51"/>
      <c r="AS21" s="52"/>
      <c r="AT21" s="52"/>
      <c r="AU21" s="51"/>
      <c r="AV21" s="51"/>
      <c r="AW21" s="51"/>
      <c r="AX21" s="51"/>
      <c r="AY21" s="51"/>
      <c r="AZ21" s="52"/>
      <c r="BA21" s="52"/>
      <c r="BB21" s="51"/>
      <c r="BC21" s="51"/>
      <c r="BD21" s="51"/>
      <c r="BE21" s="51"/>
      <c r="BF21" s="51"/>
      <c r="BG21" s="52"/>
      <c r="BH21" s="52"/>
      <c r="BI21" s="51"/>
      <c r="BJ21" s="51"/>
      <c r="BK21" s="51"/>
      <c r="BL21" s="51"/>
      <c r="BM21" s="51"/>
      <c r="BN21" s="52"/>
      <c r="BO21" s="52"/>
    </row>
    <row r="22" spans="1:67" ht="22.05" customHeight="1" x14ac:dyDescent="0.25">
      <c r="A22" s="47">
        <v>19</v>
      </c>
      <c r="B22" s="47" t="s">
        <v>204</v>
      </c>
      <c r="C22" s="48" t="s">
        <v>205</v>
      </c>
      <c r="D22" s="49" t="s">
        <v>17</v>
      </c>
      <c r="E22" s="51"/>
      <c r="F22" s="51"/>
      <c r="G22" s="51"/>
      <c r="H22" s="51"/>
      <c r="I22" s="51"/>
      <c r="J22" s="52"/>
      <c r="K22" s="52"/>
      <c r="L22" s="51"/>
      <c r="M22" s="51"/>
      <c r="N22" s="51"/>
      <c r="O22" s="51"/>
      <c r="P22" s="51"/>
      <c r="Q22" s="52"/>
      <c r="R22" s="52"/>
      <c r="S22" s="51"/>
      <c r="T22" s="51"/>
      <c r="U22" s="51"/>
      <c r="V22" s="51"/>
      <c r="W22" s="51"/>
      <c r="X22" s="52"/>
      <c r="Y22" s="52"/>
      <c r="Z22" s="51"/>
      <c r="AA22" s="51"/>
      <c r="AB22" s="51"/>
      <c r="AC22" s="51"/>
      <c r="AD22" s="51"/>
      <c r="AE22" s="52"/>
      <c r="AF22" s="52"/>
      <c r="AG22" s="58"/>
      <c r="AH22" s="58"/>
      <c r="AI22" s="58"/>
      <c r="AJ22" s="58"/>
      <c r="AK22" s="58"/>
      <c r="AL22" s="58"/>
      <c r="AM22" s="52"/>
      <c r="AN22" s="51"/>
      <c r="AO22" s="51"/>
      <c r="AP22" s="51"/>
      <c r="AQ22" s="51"/>
      <c r="AR22" s="51"/>
      <c r="AS22" s="52"/>
      <c r="AT22" s="52"/>
      <c r="AU22" s="51"/>
      <c r="AV22" s="51"/>
      <c r="AW22" s="51"/>
      <c r="AX22" s="51"/>
      <c r="AY22" s="51"/>
      <c r="AZ22" s="52"/>
      <c r="BA22" s="52"/>
      <c r="BB22" s="51"/>
      <c r="BC22" s="51"/>
      <c r="BD22" s="51"/>
      <c r="BE22" s="51"/>
      <c r="BF22" s="51"/>
      <c r="BG22" s="52"/>
      <c r="BH22" s="52"/>
      <c r="BI22" s="51"/>
      <c r="BJ22" s="51"/>
      <c r="BK22" s="51"/>
      <c r="BL22" s="51"/>
      <c r="BM22" s="51"/>
      <c r="BN22" s="52"/>
      <c r="BO22" s="52"/>
    </row>
    <row r="23" spans="1:67" ht="22.05" customHeight="1" x14ac:dyDescent="0.25">
      <c r="A23" s="53">
        <v>20</v>
      </c>
      <c r="B23" s="53" t="s">
        <v>209</v>
      </c>
      <c r="C23" s="54" t="s">
        <v>210</v>
      </c>
      <c r="D23" s="55" t="s">
        <v>19</v>
      </c>
      <c r="E23" s="51"/>
      <c r="F23" s="51"/>
      <c r="G23" s="51"/>
      <c r="H23" s="51"/>
      <c r="I23" s="51"/>
      <c r="J23" s="52"/>
      <c r="K23" s="52"/>
      <c r="L23" s="51"/>
      <c r="M23" s="51"/>
      <c r="N23" s="51"/>
      <c r="O23" s="51"/>
      <c r="P23" s="51"/>
      <c r="Q23" s="52"/>
      <c r="R23" s="52"/>
      <c r="S23" s="51"/>
      <c r="T23" s="51"/>
      <c r="U23" s="51"/>
      <c r="V23" s="51"/>
      <c r="W23" s="51"/>
      <c r="X23" s="52"/>
      <c r="Y23" s="52"/>
      <c r="Z23" s="51"/>
      <c r="AA23" s="51"/>
      <c r="AB23" s="51"/>
      <c r="AC23" s="51"/>
      <c r="AD23" s="51"/>
      <c r="AE23" s="52"/>
      <c r="AF23" s="52"/>
      <c r="AG23" s="58"/>
      <c r="AH23" s="58"/>
      <c r="AI23" s="58"/>
      <c r="AJ23" s="58"/>
      <c r="AK23" s="58"/>
      <c r="AL23" s="58"/>
      <c r="AM23" s="52"/>
      <c r="AN23" s="51"/>
      <c r="AO23" s="51"/>
      <c r="AP23" s="51"/>
      <c r="AQ23" s="51"/>
      <c r="AR23" s="51"/>
      <c r="AS23" s="52"/>
      <c r="AT23" s="52"/>
      <c r="AU23" s="51"/>
      <c r="AV23" s="51"/>
      <c r="AW23" s="51"/>
      <c r="AX23" s="51"/>
      <c r="AY23" s="51"/>
      <c r="AZ23" s="52"/>
      <c r="BA23" s="52"/>
      <c r="BB23" s="51"/>
      <c r="BC23" s="51"/>
      <c r="BD23" s="51"/>
      <c r="BE23" s="51"/>
      <c r="BF23" s="51"/>
      <c r="BG23" s="52"/>
      <c r="BH23" s="52"/>
      <c r="BI23" s="51"/>
      <c r="BJ23" s="51"/>
      <c r="BK23" s="51"/>
      <c r="BL23" s="51"/>
      <c r="BM23" s="51"/>
      <c r="BN23" s="52"/>
      <c r="BO23" s="52"/>
    </row>
    <row r="24" spans="1:67" ht="22.05" customHeight="1" x14ac:dyDescent="0.25">
      <c r="A24" s="47">
        <v>21</v>
      </c>
      <c r="B24" s="47" t="s">
        <v>215</v>
      </c>
      <c r="C24" s="48" t="s">
        <v>218</v>
      </c>
      <c r="D24" s="49" t="s">
        <v>17</v>
      </c>
      <c r="E24" s="51"/>
      <c r="F24" s="51"/>
      <c r="G24" s="51"/>
      <c r="H24" s="51"/>
      <c r="I24" s="51"/>
      <c r="J24" s="52"/>
      <c r="K24" s="52"/>
      <c r="L24" s="51"/>
      <c r="M24" s="51"/>
      <c r="N24" s="51"/>
      <c r="O24" s="51"/>
      <c r="P24" s="51"/>
      <c r="Q24" s="52"/>
      <c r="R24" s="52"/>
      <c r="S24" s="51"/>
      <c r="T24" s="51"/>
      <c r="U24" s="51"/>
      <c r="V24" s="51"/>
      <c r="W24" s="51"/>
      <c r="X24" s="52"/>
      <c r="Y24" s="52"/>
      <c r="Z24" s="51"/>
      <c r="AA24" s="51"/>
      <c r="AB24" s="51"/>
      <c r="AC24" s="51"/>
      <c r="AD24" s="51"/>
      <c r="AE24" s="52"/>
      <c r="AF24" s="52"/>
      <c r="AG24" s="51"/>
      <c r="AH24" s="51"/>
      <c r="AI24" s="51"/>
      <c r="AJ24" s="51"/>
      <c r="AK24" s="51"/>
      <c r="AL24" s="52"/>
      <c r="AM24" s="52"/>
      <c r="AN24" s="58"/>
      <c r="AO24" s="58"/>
      <c r="AP24" s="58"/>
      <c r="AQ24" s="58"/>
      <c r="AR24" s="51"/>
      <c r="AS24" s="52"/>
      <c r="AT24" s="52"/>
      <c r="AU24" s="51"/>
      <c r="AV24" s="51"/>
      <c r="AW24" s="51"/>
      <c r="AX24" s="51"/>
      <c r="AY24" s="51"/>
      <c r="AZ24" s="52"/>
      <c r="BA24" s="52"/>
      <c r="BB24" s="51"/>
      <c r="BC24" s="51"/>
      <c r="BD24" s="51"/>
      <c r="BE24" s="51"/>
      <c r="BF24" s="51"/>
      <c r="BG24" s="52"/>
      <c r="BH24" s="52"/>
      <c r="BI24" s="51"/>
      <c r="BJ24" s="51"/>
      <c r="BK24" s="51"/>
      <c r="BL24" s="51"/>
      <c r="BM24" s="51"/>
      <c r="BN24" s="52"/>
      <c r="BO24" s="52"/>
    </row>
    <row r="25" spans="1:67" ht="22.05" customHeight="1" x14ac:dyDescent="0.25">
      <c r="A25" s="53">
        <v>22</v>
      </c>
      <c r="B25" s="53" t="s">
        <v>222</v>
      </c>
      <c r="C25" s="54" t="s">
        <v>224</v>
      </c>
      <c r="D25" s="55" t="s">
        <v>21</v>
      </c>
      <c r="E25" s="51"/>
      <c r="F25" s="51"/>
      <c r="G25" s="51"/>
      <c r="H25" s="51"/>
      <c r="I25" s="51"/>
      <c r="J25" s="52"/>
      <c r="K25" s="52"/>
      <c r="L25" s="51"/>
      <c r="M25" s="51"/>
      <c r="N25" s="51"/>
      <c r="O25" s="51"/>
      <c r="P25" s="51"/>
      <c r="Q25" s="52"/>
      <c r="R25" s="52"/>
      <c r="S25" s="51"/>
      <c r="T25" s="51"/>
      <c r="U25" s="51"/>
      <c r="V25" s="51"/>
      <c r="W25" s="51"/>
      <c r="X25" s="52"/>
      <c r="Y25" s="52"/>
      <c r="Z25" s="51"/>
      <c r="AA25" s="51"/>
      <c r="AB25" s="51"/>
      <c r="AC25" s="51"/>
      <c r="AD25" s="51"/>
      <c r="AE25" s="52"/>
      <c r="AF25" s="52"/>
      <c r="AG25" s="51"/>
      <c r="AH25" s="51"/>
      <c r="AI25" s="51"/>
      <c r="AJ25" s="51"/>
      <c r="AK25" s="51"/>
      <c r="AL25" s="52"/>
      <c r="AM25" s="52"/>
      <c r="AN25" s="51"/>
      <c r="AO25" s="51"/>
      <c r="AP25" s="58"/>
      <c r="AQ25" s="58"/>
      <c r="AR25" s="58"/>
      <c r="AS25" s="52"/>
      <c r="AT25" s="52"/>
      <c r="AU25" s="51"/>
      <c r="AV25" s="51"/>
      <c r="AW25" s="51"/>
      <c r="AX25" s="51"/>
      <c r="AY25" s="51"/>
      <c r="AZ25" s="52"/>
      <c r="BA25" s="52"/>
      <c r="BB25" s="51"/>
      <c r="BC25" s="51"/>
      <c r="BD25" s="51"/>
      <c r="BE25" s="51"/>
      <c r="BF25" s="51"/>
      <c r="BG25" s="52"/>
      <c r="BH25" s="52"/>
      <c r="BI25" s="51"/>
      <c r="BJ25" s="51"/>
      <c r="BK25" s="51"/>
      <c r="BL25" s="51"/>
      <c r="BM25" s="51"/>
      <c r="BN25" s="52"/>
      <c r="BO25" s="52"/>
    </row>
    <row r="26" spans="1:67" ht="22.05" customHeight="1" x14ac:dyDescent="0.25">
      <c r="A26" s="47">
        <v>23</v>
      </c>
      <c r="B26" s="47" t="s">
        <v>229</v>
      </c>
      <c r="C26" s="48" t="s">
        <v>230</v>
      </c>
      <c r="D26" s="49" t="s">
        <v>19</v>
      </c>
      <c r="E26" s="51"/>
      <c r="F26" s="51"/>
      <c r="G26" s="51"/>
      <c r="H26" s="51"/>
      <c r="I26" s="51"/>
      <c r="J26" s="52"/>
      <c r="K26" s="52"/>
      <c r="L26" s="51"/>
      <c r="M26" s="51"/>
      <c r="N26" s="51"/>
      <c r="O26" s="51"/>
      <c r="P26" s="51"/>
      <c r="Q26" s="52"/>
      <c r="R26" s="52"/>
      <c r="S26" s="51"/>
      <c r="T26" s="51"/>
      <c r="U26" s="51"/>
      <c r="V26" s="51"/>
      <c r="W26" s="51"/>
      <c r="X26" s="52"/>
      <c r="Y26" s="52"/>
      <c r="Z26" s="51"/>
      <c r="AA26" s="51"/>
      <c r="AB26" s="51"/>
      <c r="AC26" s="51"/>
      <c r="AD26" s="51"/>
      <c r="AE26" s="52"/>
      <c r="AF26" s="52"/>
      <c r="AG26" s="51"/>
      <c r="AH26" s="51"/>
      <c r="AI26" s="51"/>
      <c r="AJ26" s="51"/>
      <c r="AK26" s="51"/>
      <c r="AL26" s="52"/>
      <c r="AM26" s="52"/>
      <c r="AN26" s="51"/>
      <c r="AO26" s="51"/>
      <c r="AP26" s="51"/>
      <c r="AQ26" s="58"/>
      <c r="AR26" s="58"/>
      <c r="AS26" s="58"/>
      <c r="AT26" s="58"/>
      <c r="AU26" s="51"/>
      <c r="AV26" s="51"/>
      <c r="AW26" s="51"/>
      <c r="AX26" s="51"/>
      <c r="AY26" s="51"/>
      <c r="AZ26" s="52"/>
      <c r="BA26" s="52"/>
      <c r="BB26" s="51"/>
      <c r="BC26" s="51"/>
      <c r="BD26" s="51"/>
      <c r="BE26" s="51"/>
      <c r="BF26" s="51"/>
      <c r="BG26" s="52"/>
      <c r="BH26" s="52"/>
      <c r="BI26" s="51"/>
      <c r="BJ26" s="51"/>
      <c r="BK26" s="51"/>
      <c r="BL26" s="51"/>
      <c r="BM26" s="51"/>
      <c r="BN26" s="52"/>
      <c r="BO26" s="52"/>
    </row>
    <row r="27" spans="1:67" ht="22.05" customHeight="1" x14ac:dyDescent="0.25">
      <c r="A27" s="53">
        <v>24</v>
      </c>
      <c r="B27" s="53" t="s">
        <v>234</v>
      </c>
      <c r="C27" s="54" t="s">
        <v>235</v>
      </c>
      <c r="D27" s="55" t="s">
        <v>139</v>
      </c>
      <c r="E27" s="51"/>
      <c r="F27" s="51"/>
      <c r="G27" s="51"/>
      <c r="H27" s="51"/>
      <c r="I27" s="51"/>
      <c r="J27" s="52"/>
      <c r="K27" s="52"/>
      <c r="L27" s="51"/>
      <c r="M27" s="51"/>
      <c r="N27" s="51"/>
      <c r="O27" s="51"/>
      <c r="P27" s="51"/>
      <c r="Q27" s="52"/>
      <c r="R27" s="52"/>
      <c r="S27" s="51"/>
      <c r="T27" s="51"/>
      <c r="U27" s="51"/>
      <c r="V27" s="51"/>
      <c r="W27" s="51"/>
      <c r="X27" s="52"/>
      <c r="Y27" s="52"/>
      <c r="Z27" s="51"/>
      <c r="AA27" s="51"/>
      <c r="AB27" s="51"/>
      <c r="AC27" s="51"/>
      <c r="AD27" s="51"/>
      <c r="AE27" s="52"/>
      <c r="AF27" s="52"/>
      <c r="AG27" s="51"/>
      <c r="AH27" s="51"/>
      <c r="AI27" s="51"/>
      <c r="AJ27" s="51"/>
      <c r="AK27" s="51"/>
      <c r="AL27" s="52"/>
      <c r="AM27" s="52"/>
      <c r="AN27" s="51"/>
      <c r="AO27" s="51"/>
      <c r="AP27" s="51"/>
      <c r="AQ27" s="51"/>
      <c r="AR27" s="51"/>
      <c r="AS27" s="58"/>
      <c r="AT27" s="58"/>
      <c r="AU27" s="51"/>
      <c r="AV27" s="51"/>
      <c r="AW27" s="51"/>
      <c r="AX27" s="51"/>
      <c r="AY27" s="51"/>
      <c r="AZ27" s="52"/>
      <c r="BA27" s="52"/>
      <c r="BB27" s="51"/>
      <c r="BC27" s="51"/>
      <c r="BD27" s="51"/>
      <c r="BE27" s="51"/>
      <c r="BF27" s="51"/>
      <c r="BG27" s="52"/>
      <c r="BH27" s="52"/>
      <c r="BI27" s="51"/>
      <c r="BJ27" s="51"/>
      <c r="BK27" s="51"/>
      <c r="BL27" s="51"/>
      <c r="BM27" s="51"/>
      <c r="BN27" s="52"/>
      <c r="BO27" s="52"/>
    </row>
    <row r="28" spans="1:67" ht="22.05" customHeight="1" x14ac:dyDescent="0.25">
      <c r="A28" s="47">
        <v>25</v>
      </c>
      <c r="B28" s="47" t="s">
        <v>240</v>
      </c>
      <c r="C28" s="48" t="s">
        <v>243</v>
      </c>
      <c r="D28" s="49" t="s">
        <v>21</v>
      </c>
      <c r="E28" s="51"/>
      <c r="F28" s="51"/>
      <c r="G28" s="51"/>
      <c r="H28" s="51"/>
      <c r="I28" s="51"/>
      <c r="J28" s="52"/>
      <c r="K28" s="52"/>
      <c r="L28" s="51"/>
      <c r="M28" s="51"/>
      <c r="N28" s="51"/>
      <c r="O28" s="51"/>
      <c r="P28" s="51"/>
      <c r="Q28" s="52"/>
      <c r="R28" s="52"/>
      <c r="S28" s="51"/>
      <c r="T28" s="51"/>
      <c r="U28" s="51"/>
      <c r="V28" s="51"/>
      <c r="W28" s="51"/>
      <c r="X28" s="52"/>
      <c r="Y28" s="52"/>
      <c r="Z28" s="51"/>
      <c r="AA28" s="51"/>
      <c r="AB28" s="51"/>
      <c r="AC28" s="51"/>
      <c r="AD28" s="51"/>
      <c r="AE28" s="52"/>
      <c r="AF28" s="52"/>
      <c r="AG28" s="51"/>
      <c r="AH28" s="51"/>
      <c r="AI28" s="51"/>
      <c r="AJ28" s="51"/>
      <c r="AK28" s="51"/>
      <c r="AL28" s="52"/>
      <c r="AM28" s="52"/>
      <c r="AN28" s="51"/>
      <c r="AO28" s="51"/>
      <c r="AP28" s="51"/>
      <c r="AQ28" s="51"/>
      <c r="AR28" s="51"/>
      <c r="AS28" s="52"/>
      <c r="AT28" s="52"/>
      <c r="AU28" s="59"/>
      <c r="AV28" s="59"/>
      <c r="AW28" s="51"/>
      <c r="AX28" s="51"/>
      <c r="AY28" s="51"/>
      <c r="AZ28" s="52"/>
      <c r="BA28" s="52"/>
      <c r="BB28" s="51"/>
      <c r="BC28" s="51"/>
      <c r="BD28" s="51"/>
      <c r="BE28" s="51"/>
      <c r="BF28" s="51"/>
      <c r="BG28" s="52"/>
      <c r="BH28" s="52"/>
      <c r="BI28" s="51"/>
      <c r="BJ28" s="51"/>
      <c r="BK28" s="51"/>
      <c r="BL28" s="51"/>
      <c r="BM28" s="51"/>
      <c r="BN28" s="52"/>
      <c r="BO28" s="52"/>
    </row>
    <row r="29" spans="1:67" ht="22.05" customHeight="1" x14ac:dyDescent="0.25">
      <c r="A29" s="53">
        <v>26</v>
      </c>
      <c r="B29" s="53" t="s">
        <v>247</v>
      </c>
      <c r="C29" s="54" t="s">
        <v>248</v>
      </c>
      <c r="D29" s="55" t="s">
        <v>139</v>
      </c>
      <c r="E29" s="51"/>
      <c r="F29" s="51"/>
      <c r="G29" s="51"/>
      <c r="H29" s="51"/>
      <c r="I29" s="51"/>
      <c r="J29" s="52"/>
      <c r="K29" s="52"/>
      <c r="L29" s="51"/>
      <c r="M29" s="51"/>
      <c r="N29" s="51"/>
      <c r="O29" s="51"/>
      <c r="P29" s="51"/>
      <c r="Q29" s="52"/>
      <c r="R29" s="52"/>
      <c r="S29" s="51"/>
      <c r="T29" s="51"/>
      <c r="U29" s="51"/>
      <c r="V29" s="51"/>
      <c r="W29" s="51"/>
      <c r="X29" s="52"/>
      <c r="Y29" s="52"/>
      <c r="Z29" s="51"/>
      <c r="AA29" s="51"/>
      <c r="AB29" s="51"/>
      <c r="AC29" s="51"/>
      <c r="AD29" s="51"/>
      <c r="AE29" s="52"/>
      <c r="AF29" s="52"/>
      <c r="AG29" s="51"/>
      <c r="AH29" s="51"/>
      <c r="AI29" s="51"/>
      <c r="AJ29" s="51"/>
      <c r="AK29" s="51"/>
      <c r="AL29" s="52"/>
      <c r="AM29" s="52"/>
      <c r="AN29" s="51"/>
      <c r="AO29" s="51"/>
      <c r="AP29" s="51"/>
      <c r="AQ29" s="51"/>
      <c r="AR29" s="51"/>
      <c r="AS29" s="52"/>
      <c r="AT29" s="52"/>
      <c r="AU29" s="51"/>
      <c r="AV29" s="51"/>
      <c r="AW29" s="59"/>
      <c r="AX29" s="59"/>
      <c r="AY29" s="59"/>
      <c r="AZ29" s="59"/>
      <c r="BA29" s="52"/>
      <c r="BB29" s="51"/>
      <c r="BC29" s="51"/>
      <c r="BD29" s="51"/>
      <c r="BE29" s="51"/>
      <c r="BF29" s="51"/>
      <c r="BG29" s="52"/>
      <c r="BH29" s="52"/>
      <c r="BI29" s="51"/>
      <c r="BJ29" s="51"/>
      <c r="BK29" s="51"/>
      <c r="BL29" s="51"/>
      <c r="BM29" s="51"/>
      <c r="BN29" s="52"/>
      <c r="BO29" s="52"/>
    </row>
    <row r="30" spans="1:67" ht="22.05" customHeight="1" x14ac:dyDescent="0.25">
      <c r="A30" s="47">
        <v>27</v>
      </c>
      <c r="B30" s="47" t="s">
        <v>253</v>
      </c>
      <c r="C30" s="48" t="s">
        <v>254</v>
      </c>
      <c r="D30" s="49" t="s">
        <v>17</v>
      </c>
      <c r="E30" s="51"/>
      <c r="F30" s="51"/>
      <c r="G30" s="51"/>
      <c r="H30" s="51"/>
      <c r="I30" s="51"/>
      <c r="J30" s="52"/>
      <c r="K30" s="52"/>
      <c r="L30" s="51"/>
      <c r="M30" s="51"/>
      <c r="N30" s="51"/>
      <c r="O30" s="51"/>
      <c r="P30" s="51"/>
      <c r="Q30" s="52"/>
      <c r="R30" s="52"/>
      <c r="S30" s="51"/>
      <c r="T30" s="51"/>
      <c r="U30" s="51"/>
      <c r="V30" s="51"/>
      <c r="W30" s="51"/>
      <c r="X30" s="52"/>
      <c r="Y30" s="52"/>
      <c r="Z30" s="51"/>
      <c r="AA30" s="51"/>
      <c r="AB30" s="51"/>
      <c r="AC30" s="51"/>
      <c r="AD30" s="51"/>
      <c r="AE30" s="52"/>
      <c r="AF30" s="52"/>
      <c r="AG30" s="51"/>
      <c r="AH30" s="51"/>
      <c r="AI30" s="51"/>
      <c r="AJ30" s="51"/>
      <c r="AK30" s="51"/>
      <c r="AL30" s="52"/>
      <c r="AM30" s="52"/>
      <c r="AN30" s="51"/>
      <c r="AO30" s="51"/>
      <c r="AP30" s="51"/>
      <c r="AQ30" s="51"/>
      <c r="AR30" s="51"/>
      <c r="AS30" s="52"/>
      <c r="AT30" s="52"/>
      <c r="AU30" s="51"/>
      <c r="AV30" s="51"/>
      <c r="AW30" s="51"/>
      <c r="AX30" s="51"/>
      <c r="AY30" s="59"/>
      <c r="AZ30" s="59"/>
      <c r="BA30" s="59"/>
      <c r="BB30" s="51"/>
      <c r="BC30" s="51"/>
      <c r="BD30" s="51"/>
      <c r="BE30" s="51"/>
      <c r="BF30" s="51"/>
      <c r="BG30" s="52"/>
      <c r="BH30" s="52"/>
      <c r="BI30" s="51"/>
      <c r="BJ30" s="51"/>
      <c r="BK30" s="51"/>
      <c r="BL30" s="51"/>
      <c r="BM30" s="51"/>
      <c r="BN30" s="52"/>
      <c r="BO30" s="52"/>
    </row>
    <row r="31" spans="1:67" ht="22.05" customHeight="1" x14ac:dyDescent="0.25">
      <c r="A31" s="53">
        <v>28</v>
      </c>
      <c r="B31" s="53" t="s">
        <v>258</v>
      </c>
      <c r="C31" s="54" t="s">
        <v>260</v>
      </c>
      <c r="D31" s="55" t="s">
        <v>17</v>
      </c>
      <c r="E31" s="51"/>
      <c r="F31" s="51"/>
      <c r="G31" s="51"/>
      <c r="H31" s="51"/>
      <c r="I31" s="51"/>
      <c r="J31" s="52"/>
      <c r="K31" s="52"/>
      <c r="L31" s="51"/>
      <c r="M31" s="51"/>
      <c r="N31" s="51"/>
      <c r="O31" s="51"/>
      <c r="P31" s="51"/>
      <c r="Q31" s="52"/>
      <c r="R31" s="52"/>
      <c r="S31" s="51"/>
      <c r="T31" s="51"/>
      <c r="U31" s="51"/>
      <c r="V31" s="51"/>
      <c r="W31" s="51"/>
      <c r="X31" s="52"/>
      <c r="Y31" s="52"/>
      <c r="Z31" s="51"/>
      <c r="AA31" s="51"/>
      <c r="AB31" s="51"/>
      <c r="AC31" s="51"/>
      <c r="AD31" s="51"/>
      <c r="AE31" s="52"/>
      <c r="AF31" s="52"/>
      <c r="AG31" s="51"/>
      <c r="AH31" s="51"/>
      <c r="AI31" s="51"/>
      <c r="AJ31" s="51"/>
      <c r="AK31" s="51"/>
      <c r="AL31" s="52"/>
      <c r="AM31" s="52"/>
      <c r="AN31" s="51"/>
      <c r="AO31" s="51"/>
      <c r="AP31" s="51"/>
      <c r="AQ31" s="51"/>
      <c r="AR31" s="51"/>
      <c r="AS31" s="52"/>
      <c r="AT31" s="52"/>
      <c r="AU31" s="51"/>
      <c r="AV31" s="51"/>
      <c r="AW31" s="51"/>
      <c r="AX31" s="51"/>
      <c r="AY31" s="51"/>
      <c r="AZ31" s="52"/>
      <c r="BA31" s="52"/>
      <c r="BB31" s="59"/>
      <c r="BC31" s="59"/>
      <c r="BD31" s="59"/>
      <c r="BE31" s="59"/>
      <c r="BF31" s="51"/>
      <c r="BG31" s="52"/>
      <c r="BH31" s="52"/>
      <c r="BI31" s="51"/>
      <c r="BJ31" s="51"/>
      <c r="BK31" s="51"/>
      <c r="BL31" s="51"/>
      <c r="BM31" s="51"/>
      <c r="BN31" s="52"/>
      <c r="BO31" s="52"/>
    </row>
    <row r="32" spans="1:67" ht="22.05" customHeight="1" x14ac:dyDescent="0.25">
      <c r="A32" s="47">
        <v>29</v>
      </c>
      <c r="B32" s="47" t="s">
        <v>265</v>
      </c>
      <c r="C32" s="48" t="s">
        <v>266</v>
      </c>
      <c r="D32" s="49" t="s">
        <v>17</v>
      </c>
      <c r="E32" s="51"/>
      <c r="F32" s="51"/>
      <c r="G32" s="51"/>
      <c r="H32" s="51"/>
      <c r="I32" s="51"/>
      <c r="J32" s="52"/>
      <c r="K32" s="52"/>
      <c r="L32" s="51"/>
      <c r="M32" s="51"/>
      <c r="N32" s="51"/>
      <c r="O32" s="51"/>
      <c r="P32" s="51"/>
      <c r="Q32" s="52"/>
      <c r="R32" s="52"/>
      <c r="S32" s="51"/>
      <c r="T32" s="51"/>
      <c r="U32" s="51"/>
      <c r="V32" s="51"/>
      <c r="W32" s="51"/>
      <c r="X32" s="52"/>
      <c r="Y32" s="52"/>
      <c r="Z32" s="51"/>
      <c r="AA32" s="51"/>
      <c r="AB32" s="51"/>
      <c r="AC32" s="51"/>
      <c r="AD32" s="51"/>
      <c r="AE32" s="52"/>
      <c r="AF32" s="52"/>
      <c r="AG32" s="51"/>
      <c r="AH32" s="51"/>
      <c r="AI32" s="51"/>
      <c r="AJ32" s="51"/>
      <c r="AK32" s="51"/>
      <c r="AL32" s="52"/>
      <c r="AM32" s="52"/>
      <c r="AN32" s="51"/>
      <c r="AO32" s="51"/>
      <c r="AP32" s="51"/>
      <c r="AQ32" s="51"/>
      <c r="AR32" s="51"/>
      <c r="AS32" s="52"/>
      <c r="AT32" s="52"/>
      <c r="AU32" s="51"/>
      <c r="AV32" s="51"/>
      <c r="AW32" s="51"/>
      <c r="AX32" s="51"/>
      <c r="AY32" s="51"/>
      <c r="AZ32" s="52"/>
      <c r="BA32" s="52"/>
      <c r="BB32" s="51"/>
      <c r="BC32" s="51"/>
      <c r="BD32" s="59"/>
      <c r="BE32" s="59"/>
      <c r="BF32" s="59"/>
      <c r="BG32" s="59"/>
      <c r="BH32" s="52"/>
      <c r="BI32" s="51"/>
      <c r="BJ32" s="51"/>
      <c r="BK32" s="51"/>
      <c r="BL32" s="51"/>
      <c r="BM32" s="51"/>
      <c r="BN32" s="52"/>
      <c r="BO32" s="52"/>
    </row>
    <row r="33" spans="1:67" ht="22.05" customHeight="1" x14ac:dyDescent="0.25">
      <c r="A33" s="53">
        <v>30</v>
      </c>
      <c r="B33" s="53" t="s">
        <v>270</v>
      </c>
      <c r="C33" s="54" t="s">
        <v>271</v>
      </c>
      <c r="D33" s="55" t="s">
        <v>21</v>
      </c>
      <c r="E33" s="51"/>
      <c r="F33" s="51"/>
      <c r="G33" s="51"/>
      <c r="H33" s="51"/>
      <c r="I33" s="51"/>
      <c r="J33" s="52"/>
      <c r="K33" s="52"/>
      <c r="L33" s="51"/>
      <c r="M33" s="51"/>
      <c r="N33" s="51"/>
      <c r="O33" s="51"/>
      <c r="P33" s="51"/>
      <c r="Q33" s="52"/>
      <c r="R33" s="52"/>
      <c r="S33" s="51"/>
      <c r="T33" s="51"/>
      <c r="U33" s="51"/>
      <c r="V33" s="51"/>
      <c r="W33" s="51"/>
      <c r="X33" s="52"/>
      <c r="Y33" s="52"/>
      <c r="Z33" s="51"/>
      <c r="AA33" s="51"/>
      <c r="AB33" s="51"/>
      <c r="AC33" s="51"/>
      <c r="AD33" s="51"/>
      <c r="AE33" s="52"/>
      <c r="AF33" s="52"/>
      <c r="AG33" s="51"/>
      <c r="AH33" s="51"/>
      <c r="AI33" s="51"/>
      <c r="AJ33" s="51"/>
      <c r="AK33" s="51"/>
      <c r="AL33" s="52"/>
      <c r="AM33" s="52"/>
      <c r="AN33" s="51"/>
      <c r="AO33" s="51"/>
      <c r="AP33" s="51"/>
      <c r="AQ33" s="51"/>
      <c r="AR33" s="51"/>
      <c r="AS33" s="52"/>
      <c r="AT33" s="52"/>
      <c r="AU33" s="51"/>
      <c r="AV33" s="51"/>
      <c r="AW33" s="51"/>
      <c r="AX33" s="51"/>
      <c r="AY33" s="51"/>
      <c r="AZ33" s="52"/>
      <c r="BA33" s="52"/>
      <c r="BB33" s="59"/>
      <c r="BC33" s="59"/>
      <c r="BD33" s="59"/>
      <c r="BE33" s="59"/>
      <c r="BF33" s="59"/>
      <c r="BG33" s="59"/>
      <c r="BH33" s="52"/>
      <c r="BI33" s="51"/>
      <c r="BJ33" s="51"/>
      <c r="BK33" s="51"/>
      <c r="BL33" s="51"/>
      <c r="BM33" s="51"/>
      <c r="BN33" s="52"/>
      <c r="BO33" s="52"/>
    </row>
    <row r="34" spans="1:67" ht="22.05" customHeight="1" x14ac:dyDescent="0.25">
      <c r="A34" s="47">
        <v>31</v>
      </c>
      <c r="B34" s="47" t="s">
        <v>275</v>
      </c>
      <c r="C34" s="48" t="s">
        <v>277</v>
      </c>
      <c r="D34" s="49" t="s">
        <v>139</v>
      </c>
      <c r="E34" s="51"/>
      <c r="F34" s="51"/>
      <c r="G34" s="51"/>
      <c r="H34" s="51"/>
      <c r="I34" s="51"/>
      <c r="J34" s="52"/>
      <c r="K34" s="52"/>
      <c r="L34" s="51"/>
      <c r="M34" s="51"/>
      <c r="N34" s="51"/>
      <c r="O34" s="51"/>
      <c r="P34" s="51"/>
      <c r="Q34" s="52"/>
      <c r="R34" s="52"/>
      <c r="S34" s="51"/>
      <c r="T34" s="51"/>
      <c r="U34" s="51"/>
      <c r="V34" s="51"/>
      <c r="W34" s="51"/>
      <c r="X34" s="52"/>
      <c r="Y34" s="52"/>
      <c r="Z34" s="51"/>
      <c r="AA34" s="51"/>
      <c r="AB34" s="51"/>
      <c r="AC34" s="51"/>
      <c r="AD34" s="51"/>
      <c r="AE34" s="52"/>
      <c r="AF34" s="52"/>
      <c r="AG34" s="51"/>
      <c r="AH34" s="51"/>
      <c r="AI34" s="51"/>
      <c r="AJ34" s="51"/>
      <c r="AK34" s="51"/>
      <c r="AL34" s="52"/>
      <c r="AM34" s="52"/>
      <c r="AN34" s="51"/>
      <c r="AO34" s="51"/>
      <c r="AP34" s="51"/>
      <c r="AQ34" s="51"/>
      <c r="AR34" s="51"/>
      <c r="AS34" s="52"/>
      <c r="AT34" s="52"/>
      <c r="AU34" s="51"/>
      <c r="AV34" s="51"/>
      <c r="AW34" s="51"/>
      <c r="AX34" s="51"/>
      <c r="AY34" s="51"/>
      <c r="AZ34" s="52"/>
      <c r="BA34" s="52"/>
      <c r="BB34" s="51"/>
      <c r="BC34" s="51"/>
      <c r="BD34" s="51"/>
      <c r="BE34" s="51"/>
      <c r="BF34" s="51"/>
      <c r="BG34" s="52"/>
      <c r="BH34" s="52"/>
      <c r="BI34" s="59"/>
      <c r="BJ34" s="59"/>
      <c r="BK34" s="59"/>
      <c r="BL34" s="59"/>
      <c r="BM34" s="59"/>
      <c r="BN34" s="52"/>
      <c r="BO34" s="52"/>
    </row>
    <row r="35" spans="1:67" ht="22.05" customHeight="1" x14ac:dyDescent="0.25">
      <c r="A35" s="53">
        <v>32</v>
      </c>
      <c r="B35" s="53" t="s">
        <v>282</v>
      </c>
      <c r="C35" s="54" t="s">
        <v>283</v>
      </c>
      <c r="D35" s="55" t="s">
        <v>139</v>
      </c>
      <c r="E35" s="51"/>
      <c r="F35" s="51"/>
      <c r="G35" s="51"/>
      <c r="H35" s="51"/>
      <c r="I35" s="51"/>
      <c r="J35" s="52"/>
      <c r="K35" s="52"/>
      <c r="L35" s="51"/>
      <c r="M35" s="51"/>
      <c r="N35" s="51"/>
      <c r="O35" s="51"/>
      <c r="P35" s="51"/>
      <c r="Q35" s="52"/>
      <c r="R35" s="52"/>
      <c r="S35" s="51"/>
      <c r="T35" s="51"/>
      <c r="U35" s="51"/>
      <c r="V35" s="51"/>
      <c r="W35" s="51"/>
      <c r="X35" s="52"/>
      <c r="Y35" s="52"/>
      <c r="Z35" s="51"/>
      <c r="AA35" s="51"/>
      <c r="AB35" s="51"/>
      <c r="AC35" s="51"/>
      <c r="AD35" s="51"/>
      <c r="AE35" s="52"/>
      <c r="AF35" s="52"/>
      <c r="AG35" s="51"/>
      <c r="AH35" s="51"/>
      <c r="AI35" s="51"/>
      <c r="AJ35" s="51"/>
      <c r="AK35" s="51"/>
      <c r="AL35" s="52"/>
      <c r="AM35" s="52"/>
      <c r="AN35" s="51"/>
      <c r="AO35" s="51"/>
      <c r="AP35" s="51"/>
      <c r="AQ35" s="51"/>
      <c r="AR35" s="51"/>
      <c r="AS35" s="52"/>
      <c r="AT35" s="52"/>
      <c r="AU35" s="51"/>
      <c r="AV35" s="51"/>
      <c r="AW35" s="51"/>
      <c r="AX35" s="51"/>
      <c r="AY35" s="51"/>
      <c r="AZ35" s="52"/>
      <c r="BA35" s="52"/>
      <c r="BB35" s="51"/>
      <c r="BC35" s="51"/>
      <c r="BD35" s="51"/>
      <c r="BE35" s="51"/>
      <c r="BF35" s="51"/>
      <c r="BG35" s="52"/>
      <c r="BH35" s="52"/>
      <c r="BI35" s="59"/>
      <c r="BJ35" s="59"/>
      <c r="BK35" s="59"/>
      <c r="BL35" s="59"/>
      <c r="BM35" s="59"/>
      <c r="BN35" s="59"/>
      <c r="BO35" s="59"/>
    </row>
    <row r="38" spans="1:67" ht="15" x14ac:dyDescent="0.35">
      <c r="A38" s="102" t="s">
        <v>289</v>
      </c>
      <c r="B38" s="100"/>
      <c r="C38" s="100"/>
      <c r="D38" s="100"/>
    </row>
    <row r="39" spans="1:67" ht="14.4" x14ac:dyDescent="0.3">
      <c r="B39" s="60" t="s">
        <v>290</v>
      </c>
      <c r="C39" s="61" t="s">
        <v>55</v>
      </c>
    </row>
    <row r="40" spans="1:67" ht="14.4" x14ac:dyDescent="0.3">
      <c r="B40" s="62" t="s">
        <v>290</v>
      </c>
      <c r="C40" s="61" t="s">
        <v>57</v>
      </c>
    </row>
    <row r="41" spans="1:67" ht="14.4" x14ac:dyDescent="0.3">
      <c r="B41" s="63" t="s">
        <v>290</v>
      </c>
      <c r="C41" s="61" t="s">
        <v>291</v>
      </c>
    </row>
    <row r="42" spans="1:67" ht="14.4" x14ac:dyDescent="0.3">
      <c r="B42" s="64" t="s">
        <v>290</v>
      </c>
      <c r="C42" s="61" t="s">
        <v>61</v>
      </c>
    </row>
    <row r="43" spans="1:67" ht="14.4" x14ac:dyDescent="0.3">
      <c r="B43" s="65" t="s">
        <v>290</v>
      </c>
      <c r="C43" s="61" t="s">
        <v>292</v>
      </c>
    </row>
  </sheetData>
  <mergeCells count="11">
    <mergeCell ref="AU2:BA2"/>
    <mergeCell ref="AN2:AT2"/>
    <mergeCell ref="A1:BO1"/>
    <mergeCell ref="A38:D38"/>
    <mergeCell ref="L2:R2"/>
    <mergeCell ref="S2:Y2"/>
    <mergeCell ref="Z2:AF2"/>
    <mergeCell ref="E2:K2"/>
    <mergeCell ref="BB2:BH2"/>
    <mergeCell ref="BI2:BO2"/>
    <mergeCell ref="AG2:A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K18"/>
  <sheetViews>
    <sheetView workbookViewId="0">
      <pane ySplit="3" topLeftCell="A6" activePane="bottomLeft" state="frozen"/>
      <selection pane="bottomLeft" activeCell="B6" sqref="B6"/>
    </sheetView>
  </sheetViews>
  <sheetFormatPr defaultRowHeight="13.8" x14ac:dyDescent="0.25"/>
  <cols>
    <col min="1" max="1" width="10" customWidth="1"/>
    <col min="2" max="2" width="45" customWidth="1"/>
    <col min="3" max="5" width="12" customWidth="1"/>
    <col min="6" max="6" width="40" customWidth="1"/>
    <col min="7" max="7" width="35" customWidth="1"/>
    <col min="8" max="9" width="12" customWidth="1"/>
    <col min="10" max="10" width="18" customWidth="1"/>
    <col min="11" max="11" width="13" customWidth="1"/>
  </cols>
  <sheetData>
    <row r="1" spans="1:11" x14ac:dyDescent="0.25">
      <c r="A1" s="91" t="s">
        <v>293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x14ac:dyDescent="0.25">
      <c r="A2" s="89" t="s">
        <v>294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ht="15" x14ac:dyDescent="0.25">
      <c r="A3" s="66" t="s">
        <v>295</v>
      </c>
      <c r="B3" s="66" t="s">
        <v>296</v>
      </c>
      <c r="C3" s="66" t="s">
        <v>297</v>
      </c>
      <c r="D3" s="66" t="s">
        <v>298</v>
      </c>
      <c r="E3" s="66" t="s">
        <v>299</v>
      </c>
      <c r="F3" s="66" t="s">
        <v>300</v>
      </c>
      <c r="G3" s="66" t="s">
        <v>301</v>
      </c>
      <c r="H3" s="66" t="s">
        <v>76</v>
      </c>
      <c r="I3" s="66" t="s">
        <v>28</v>
      </c>
      <c r="J3" s="66" t="s">
        <v>302</v>
      </c>
      <c r="K3" s="66" t="s">
        <v>303</v>
      </c>
    </row>
    <row r="4" spans="1:11" ht="45" customHeight="1" x14ac:dyDescent="0.25">
      <c r="A4" s="9" t="s">
        <v>304</v>
      </c>
      <c r="B4" s="31" t="s">
        <v>305</v>
      </c>
      <c r="C4" s="10" t="s">
        <v>306</v>
      </c>
      <c r="D4" s="10" t="s">
        <v>306</v>
      </c>
      <c r="E4" s="67" t="s">
        <v>307</v>
      </c>
      <c r="F4" s="31" t="s">
        <v>308</v>
      </c>
      <c r="G4" s="31" t="s">
        <v>309</v>
      </c>
      <c r="H4" s="10" t="s">
        <v>17</v>
      </c>
      <c r="I4" s="10" t="s">
        <v>310</v>
      </c>
      <c r="J4" s="10" t="s">
        <v>311</v>
      </c>
      <c r="K4" s="21"/>
    </row>
    <row r="5" spans="1:11" ht="45" customHeight="1" x14ac:dyDescent="0.25">
      <c r="A5" s="14" t="s">
        <v>312</v>
      </c>
      <c r="B5" s="34" t="s">
        <v>313</v>
      </c>
      <c r="C5" s="15" t="s">
        <v>314</v>
      </c>
      <c r="D5" s="15" t="s">
        <v>306</v>
      </c>
      <c r="E5" s="68" t="s">
        <v>315</v>
      </c>
      <c r="F5" s="34" t="s">
        <v>316</v>
      </c>
      <c r="G5" s="34" t="s">
        <v>317</v>
      </c>
      <c r="H5" s="15" t="s">
        <v>17</v>
      </c>
      <c r="I5" s="15" t="s">
        <v>310</v>
      </c>
      <c r="J5" s="15" t="s">
        <v>204</v>
      </c>
      <c r="K5" s="24"/>
    </row>
    <row r="6" spans="1:11" ht="45" customHeight="1" x14ac:dyDescent="0.25">
      <c r="A6" s="9" t="s">
        <v>318</v>
      </c>
      <c r="B6" s="31" t="s">
        <v>319</v>
      </c>
      <c r="C6" s="10" t="s">
        <v>314</v>
      </c>
      <c r="D6" s="10" t="s">
        <v>320</v>
      </c>
      <c r="E6" s="68" t="s">
        <v>321</v>
      </c>
      <c r="F6" s="31" t="s">
        <v>322</v>
      </c>
      <c r="G6" s="31" t="s">
        <v>323</v>
      </c>
      <c r="H6" s="10" t="s">
        <v>21</v>
      </c>
      <c r="I6" s="10" t="s">
        <v>310</v>
      </c>
      <c r="J6" s="10" t="s">
        <v>198</v>
      </c>
      <c r="K6" s="21"/>
    </row>
    <row r="7" spans="1:11" ht="45" customHeight="1" x14ac:dyDescent="0.25">
      <c r="A7" s="14" t="s">
        <v>324</v>
      </c>
      <c r="B7" s="34" t="s">
        <v>325</v>
      </c>
      <c r="C7" s="15" t="s">
        <v>306</v>
      </c>
      <c r="D7" s="15" t="s">
        <v>314</v>
      </c>
      <c r="E7" s="68" t="s">
        <v>315</v>
      </c>
      <c r="F7" s="34" t="s">
        <v>326</v>
      </c>
      <c r="G7" s="34" t="s">
        <v>327</v>
      </c>
      <c r="H7" s="15" t="s">
        <v>17</v>
      </c>
      <c r="I7" s="15" t="s">
        <v>310</v>
      </c>
      <c r="J7" s="15" t="s">
        <v>234</v>
      </c>
      <c r="K7" s="24"/>
    </row>
    <row r="8" spans="1:11" ht="45" customHeight="1" x14ac:dyDescent="0.25">
      <c r="A8" s="9" t="s">
        <v>328</v>
      </c>
      <c r="B8" s="31" t="s">
        <v>329</v>
      </c>
      <c r="C8" s="10" t="s">
        <v>314</v>
      </c>
      <c r="D8" s="10" t="s">
        <v>306</v>
      </c>
      <c r="E8" s="68" t="s">
        <v>315</v>
      </c>
      <c r="F8" s="31" t="s">
        <v>330</v>
      </c>
      <c r="G8" s="31" t="s">
        <v>331</v>
      </c>
      <c r="H8" s="10" t="s">
        <v>19</v>
      </c>
      <c r="I8" s="10" t="s">
        <v>310</v>
      </c>
      <c r="J8" s="10" t="s">
        <v>332</v>
      </c>
      <c r="K8" s="21"/>
    </row>
    <row r="9" spans="1:11" ht="45" customHeight="1" x14ac:dyDescent="0.25">
      <c r="A9" s="14" t="s">
        <v>333</v>
      </c>
      <c r="B9" s="34" t="s">
        <v>334</v>
      </c>
      <c r="C9" s="15" t="s">
        <v>314</v>
      </c>
      <c r="D9" s="15" t="s">
        <v>314</v>
      </c>
      <c r="E9" s="41" t="s">
        <v>335</v>
      </c>
      <c r="F9" s="34" t="s">
        <v>336</v>
      </c>
      <c r="G9" s="34" t="s">
        <v>337</v>
      </c>
      <c r="H9" s="15" t="s">
        <v>19</v>
      </c>
      <c r="I9" s="15" t="s">
        <v>310</v>
      </c>
      <c r="J9" s="15" t="s">
        <v>172</v>
      </c>
      <c r="K9" s="24"/>
    </row>
    <row r="10" spans="1:11" ht="45" customHeight="1" x14ac:dyDescent="0.25">
      <c r="A10" s="9" t="s">
        <v>338</v>
      </c>
      <c r="B10" s="31" t="s">
        <v>339</v>
      </c>
      <c r="C10" s="10" t="s">
        <v>306</v>
      </c>
      <c r="D10" s="10" t="s">
        <v>306</v>
      </c>
      <c r="E10" s="67" t="s">
        <v>307</v>
      </c>
      <c r="F10" s="31" t="s">
        <v>340</v>
      </c>
      <c r="G10" s="31" t="s">
        <v>341</v>
      </c>
      <c r="H10" s="10" t="s">
        <v>139</v>
      </c>
      <c r="I10" s="10" t="s">
        <v>310</v>
      </c>
      <c r="J10" s="10" t="s">
        <v>275</v>
      </c>
      <c r="K10" s="21"/>
    </row>
    <row r="11" spans="1:11" ht="45" customHeight="1" x14ac:dyDescent="0.25">
      <c r="A11" s="14" t="s">
        <v>342</v>
      </c>
      <c r="B11" s="34" t="s">
        <v>343</v>
      </c>
      <c r="C11" s="15" t="s">
        <v>314</v>
      </c>
      <c r="D11" s="15" t="s">
        <v>320</v>
      </c>
      <c r="E11" s="68" t="s">
        <v>321</v>
      </c>
      <c r="F11" s="34" t="s">
        <v>344</v>
      </c>
      <c r="G11" s="34" t="s">
        <v>345</v>
      </c>
      <c r="H11" s="15" t="s">
        <v>21</v>
      </c>
      <c r="I11" s="15" t="s">
        <v>310</v>
      </c>
      <c r="J11" s="15" t="s">
        <v>346</v>
      </c>
      <c r="K11" s="24"/>
    </row>
    <row r="14" spans="1:11" ht="15" x14ac:dyDescent="0.35">
      <c r="A14" s="102" t="s">
        <v>347</v>
      </c>
      <c r="B14" s="100"/>
      <c r="C14" s="100"/>
      <c r="D14" s="100"/>
    </row>
    <row r="15" spans="1:11" ht="15" x14ac:dyDescent="0.25">
      <c r="A15" s="44"/>
      <c r="B15" s="44" t="s">
        <v>348</v>
      </c>
      <c r="C15" s="44" t="s">
        <v>349</v>
      </c>
      <c r="D15" s="44" t="s">
        <v>350</v>
      </c>
      <c r="E15" s="44" t="s">
        <v>351</v>
      </c>
    </row>
    <row r="16" spans="1:11" ht="15" x14ac:dyDescent="0.25">
      <c r="A16" s="9" t="s">
        <v>350</v>
      </c>
      <c r="B16" s="69">
        <v>3</v>
      </c>
      <c r="C16" s="70">
        <v>6</v>
      </c>
      <c r="D16" s="71">
        <v>9</v>
      </c>
      <c r="E16" s="71">
        <v>12</v>
      </c>
    </row>
    <row r="17" spans="1:5" ht="30" x14ac:dyDescent="0.25">
      <c r="A17" s="9" t="s">
        <v>349</v>
      </c>
      <c r="B17" s="72">
        <v>2</v>
      </c>
      <c r="C17" s="69">
        <v>4</v>
      </c>
      <c r="D17" s="70">
        <v>6</v>
      </c>
      <c r="E17" s="70">
        <v>8</v>
      </c>
    </row>
    <row r="18" spans="1:5" ht="15" x14ac:dyDescent="0.25">
      <c r="A18" s="9" t="s">
        <v>352</v>
      </c>
      <c r="B18" s="72">
        <v>1</v>
      </c>
      <c r="C18" s="72">
        <v>2</v>
      </c>
      <c r="D18" s="69">
        <v>3</v>
      </c>
      <c r="E18" s="69">
        <v>4</v>
      </c>
    </row>
  </sheetData>
  <autoFilter ref="A3:K11" xr:uid="{00000000-0009-0000-0000-000003000000}"/>
  <mergeCells count="3">
    <mergeCell ref="A2:K2"/>
    <mergeCell ref="A1:K1"/>
    <mergeCell ref="A14:D14"/>
  </mergeCells>
  <conditionalFormatting sqref="I4:I11">
    <cfRule type="cellIs" dxfId="1" priority="1" operator="equal">
      <formula>"Occurred"</formula>
    </cfRule>
    <cfRule type="cellIs" dxfId="0" priority="2" operator="equal">
      <formula>"Closed"</formula>
    </cfRule>
  </conditionalFormatting>
  <dataValidations count="4">
    <dataValidation type="list" sqref="C4:C11" xr:uid="{00000000-0002-0000-0300-000000000000}">
      <formula1>"Low,Medium,High"</formula1>
    </dataValidation>
    <dataValidation type="list" sqref="D4:D11" xr:uid="{00000000-0002-0000-0300-000001000000}">
      <formula1>"Low,Medium,High,Critical"</formula1>
    </dataValidation>
    <dataValidation type="list" sqref="I4:I11" xr:uid="{00000000-0002-0000-0300-000002000000}">
      <formula1>"Open,Mitigated,Occurred,Closed"</formula1>
    </dataValidation>
    <dataValidation type="list" sqref="H4:H11" xr:uid="{00000000-0002-0000-0300-000003000000}">
      <formula1>"Duy,Tuân,Việt Anh,Cả nhóm"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G190"/>
  <sheetViews>
    <sheetView workbookViewId="0">
      <pane ySplit="3" topLeftCell="A11" activePane="bottomLeft" state="frozen"/>
      <selection pane="bottomLeft" activeCell="C20" sqref="C20"/>
    </sheetView>
  </sheetViews>
  <sheetFormatPr defaultRowHeight="13.8" x14ac:dyDescent="0.25"/>
  <cols>
    <col min="1" max="1" width="3" customWidth="1"/>
    <col min="2" max="2" width="20" customWidth="1"/>
    <col min="3" max="3" width="50" customWidth="1"/>
    <col min="4" max="4" width="7.296875" customWidth="1"/>
    <col min="5" max="5" width="20" customWidth="1"/>
    <col min="6" max="6" width="50" customWidth="1"/>
    <col min="7" max="7" width="3" customWidth="1"/>
  </cols>
  <sheetData>
    <row r="1" spans="1:7" x14ac:dyDescent="0.25">
      <c r="A1" s="91" t="s">
        <v>353</v>
      </c>
      <c r="B1" s="90"/>
      <c r="C1" s="90"/>
      <c r="D1" s="90"/>
      <c r="E1" s="90"/>
      <c r="F1" s="90"/>
      <c r="G1" s="90"/>
    </row>
    <row r="2" spans="1:7" x14ac:dyDescent="0.25">
      <c r="A2" s="89" t="s">
        <v>354</v>
      </c>
      <c r="B2" s="90"/>
      <c r="C2" s="90"/>
      <c r="D2" s="90"/>
      <c r="E2" s="90"/>
      <c r="F2" s="90"/>
      <c r="G2" s="90"/>
    </row>
    <row r="4" spans="1:7" x14ac:dyDescent="0.25">
      <c r="B4" s="105" t="s">
        <v>355</v>
      </c>
      <c r="C4" s="106"/>
      <c r="D4" s="106"/>
      <c r="E4" s="106"/>
      <c r="F4" s="106"/>
    </row>
    <row r="5" spans="1:7" ht="15" x14ac:dyDescent="0.25">
      <c r="B5" s="73" t="s">
        <v>356</v>
      </c>
      <c r="C5" s="74">
        <v>46262</v>
      </c>
      <c r="E5" s="73" t="s">
        <v>357</v>
      </c>
      <c r="F5" s="31" t="s">
        <v>358</v>
      </c>
    </row>
    <row r="6" spans="1:7" ht="30" x14ac:dyDescent="0.25">
      <c r="B6" s="75" t="s">
        <v>359</v>
      </c>
      <c r="C6" s="8"/>
      <c r="E6" s="76" t="s">
        <v>360</v>
      </c>
      <c r="F6" s="77"/>
    </row>
    <row r="7" spans="1:7" x14ac:dyDescent="0.25">
      <c r="B7" s="78" t="s">
        <v>361</v>
      </c>
      <c r="C7" s="79"/>
      <c r="E7" s="80" t="s">
        <v>361</v>
      </c>
      <c r="F7" s="81"/>
    </row>
    <row r="8" spans="1:7" x14ac:dyDescent="0.25">
      <c r="B8" s="78" t="s">
        <v>362</v>
      </c>
      <c r="C8" s="79"/>
      <c r="E8" s="80" t="s">
        <v>362</v>
      </c>
      <c r="F8" s="81"/>
    </row>
    <row r="9" spans="1:7" x14ac:dyDescent="0.25">
      <c r="B9" s="78" t="s">
        <v>363</v>
      </c>
      <c r="C9" s="79"/>
      <c r="E9" s="80" t="s">
        <v>363</v>
      </c>
      <c r="F9" s="81"/>
    </row>
    <row r="10" spans="1:7" x14ac:dyDescent="0.25">
      <c r="B10" s="78" t="s">
        <v>364</v>
      </c>
      <c r="C10" s="79"/>
      <c r="E10" s="80" t="s">
        <v>364</v>
      </c>
      <c r="F10" s="81"/>
    </row>
    <row r="11" spans="1:7" x14ac:dyDescent="0.25">
      <c r="B11" s="78" t="s">
        <v>365</v>
      </c>
      <c r="C11" s="79"/>
      <c r="E11" s="80" t="s">
        <v>365</v>
      </c>
      <c r="F11" s="81"/>
    </row>
    <row r="12" spans="1:7" ht="30" x14ac:dyDescent="0.25">
      <c r="B12" s="82" t="s">
        <v>366</v>
      </c>
      <c r="C12" s="6"/>
      <c r="E12" s="83" t="s">
        <v>367</v>
      </c>
      <c r="F12" s="84"/>
    </row>
    <row r="13" spans="1:7" x14ac:dyDescent="0.25">
      <c r="B13" s="85" t="s">
        <v>361</v>
      </c>
      <c r="C13" s="86"/>
      <c r="E13" s="29" t="s">
        <v>361</v>
      </c>
      <c r="F13" s="28"/>
    </row>
    <row r="14" spans="1:7" x14ac:dyDescent="0.25">
      <c r="B14" s="85" t="s">
        <v>362</v>
      </c>
      <c r="C14" s="86"/>
      <c r="E14" s="29" t="s">
        <v>362</v>
      </c>
      <c r="F14" s="28"/>
    </row>
    <row r="15" spans="1:7" x14ac:dyDescent="0.25">
      <c r="B15" s="85" t="s">
        <v>363</v>
      </c>
      <c r="C15" s="86"/>
      <c r="E15" s="29" t="s">
        <v>363</v>
      </c>
      <c r="F15" s="28"/>
    </row>
    <row r="16" spans="1:7" x14ac:dyDescent="0.25">
      <c r="B16" s="85" t="s">
        <v>364</v>
      </c>
      <c r="C16" s="86"/>
      <c r="E16" s="29" t="s">
        <v>364</v>
      </c>
      <c r="F16" s="28"/>
    </row>
    <row r="17" spans="2:6" x14ac:dyDescent="0.25">
      <c r="B17" s="85" t="s">
        <v>365</v>
      </c>
      <c r="C17" s="86"/>
      <c r="E17" s="29" t="s">
        <v>365</v>
      </c>
      <c r="F17" s="28"/>
    </row>
    <row r="18" spans="2:6" x14ac:dyDescent="0.25">
      <c r="B18" s="107" t="s">
        <v>368</v>
      </c>
      <c r="C18" s="108"/>
      <c r="D18" s="108"/>
      <c r="E18" s="108"/>
      <c r="F18" s="108"/>
    </row>
    <row r="19" spans="2:6" ht="60" x14ac:dyDescent="0.25">
      <c r="B19" s="87"/>
      <c r="C19" s="87" t="s">
        <v>369</v>
      </c>
      <c r="D19" s="87" t="s">
        <v>76</v>
      </c>
      <c r="E19" s="87"/>
      <c r="F19" s="87" t="s">
        <v>370</v>
      </c>
    </row>
    <row r="20" spans="2:6" x14ac:dyDescent="0.25">
      <c r="B20" s="88" t="s">
        <v>361</v>
      </c>
      <c r="C20" s="88"/>
      <c r="D20" s="88"/>
      <c r="E20" s="88"/>
      <c r="F20" s="88"/>
    </row>
    <row r="21" spans="2:6" x14ac:dyDescent="0.25">
      <c r="B21" s="88" t="s">
        <v>362</v>
      </c>
      <c r="C21" s="88"/>
      <c r="D21" s="88"/>
      <c r="E21" s="88"/>
      <c r="F21" s="88"/>
    </row>
    <row r="22" spans="2:6" x14ac:dyDescent="0.25">
      <c r="B22" s="88" t="s">
        <v>363</v>
      </c>
      <c r="C22" s="88"/>
      <c r="D22" s="88"/>
      <c r="E22" s="88"/>
      <c r="F22" s="88"/>
    </row>
    <row r="25" spans="2:6" x14ac:dyDescent="0.25">
      <c r="B25" s="105" t="s">
        <v>371</v>
      </c>
      <c r="C25" s="106"/>
      <c r="D25" s="106"/>
      <c r="E25" s="106"/>
      <c r="F25" s="106"/>
    </row>
    <row r="26" spans="2:6" ht="15" x14ac:dyDescent="0.25">
      <c r="B26" s="73" t="s">
        <v>356</v>
      </c>
      <c r="C26" s="74">
        <v>46269</v>
      </c>
      <c r="E26" s="73" t="s">
        <v>357</v>
      </c>
      <c r="F26" s="31" t="s">
        <v>358</v>
      </c>
    </row>
    <row r="27" spans="2:6" ht="30" x14ac:dyDescent="0.25">
      <c r="B27" s="75" t="s">
        <v>359</v>
      </c>
      <c r="C27" s="8"/>
      <c r="E27" s="76" t="s">
        <v>360</v>
      </c>
      <c r="F27" s="77"/>
    </row>
    <row r="28" spans="2:6" x14ac:dyDescent="0.25">
      <c r="B28" s="78" t="s">
        <v>361</v>
      </c>
      <c r="C28" s="79"/>
      <c r="E28" s="80" t="s">
        <v>361</v>
      </c>
      <c r="F28" s="81"/>
    </row>
    <row r="29" spans="2:6" x14ac:dyDescent="0.25">
      <c r="B29" s="78" t="s">
        <v>362</v>
      </c>
      <c r="C29" s="79"/>
      <c r="E29" s="80" t="s">
        <v>362</v>
      </c>
      <c r="F29" s="81"/>
    </row>
    <row r="30" spans="2:6" x14ac:dyDescent="0.25">
      <c r="B30" s="78" t="s">
        <v>363</v>
      </c>
      <c r="C30" s="79"/>
      <c r="E30" s="80" t="s">
        <v>363</v>
      </c>
      <c r="F30" s="81"/>
    </row>
    <row r="31" spans="2:6" x14ac:dyDescent="0.25">
      <c r="B31" s="78" t="s">
        <v>364</v>
      </c>
      <c r="C31" s="79"/>
      <c r="E31" s="80" t="s">
        <v>364</v>
      </c>
      <c r="F31" s="81"/>
    </row>
    <row r="32" spans="2:6" x14ac:dyDescent="0.25">
      <c r="B32" s="78" t="s">
        <v>365</v>
      </c>
      <c r="C32" s="79"/>
      <c r="E32" s="80" t="s">
        <v>365</v>
      </c>
      <c r="F32" s="81"/>
    </row>
    <row r="33" spans="2:6" ht="30" x14ac:dyDescent="0.25">
      <c r="B33" s="82" t="s">
        <v>366</v>
      </c>
      <c r="C33" s="6"/>
      <c r="E33" s="83" t="s">
        <v>367</v>
      </c>
      <c r="F33" s="84"/>
    </row>
    <row r="34" spans="2:6" x14ac:dyDescent="0.25">
      <c r="B34" s="85" t="s">
        <v>361</v>
      </c>
      <c r="C34" s="86"/>
      <c r="E34" s="29" t="s">
        <v>361</v>
      </c>
      <c r="F34" s="28"/>
    </row>
    <row r="35" spans="2:6" x14ac:dyDescent="0.25">
      <c r="B35" s="85" t="s">
        <v>362</v>
      </c>
      <c r="C35" s="86"/>
      <c r="E35" s="29" t="s">
        <v>362</v>
      </c>
      <c r="F35" s="28"/>
    </row>
    <row r="36" spans="2:6" x14ac:dyDescent="0.25">
      <c r="B36" s="85" t="s">
        <v>363</v>
      </c>
      <c r="C36" s="86"/>
      <c r="E36" s="29" t="s">
        <v>363</v>
      </c>
      <c r="F36" s="28"/>
    </row>
    <row r="37" spans="2:6" x14ac:dyDescent="0.25">
      <c r="B37" s="85" t="s">
        <v>364</v>
      </c>
      <c r="C37" s="86"/>
      <c r="E37" s="29" t="s">
        <v>364</v>
      </c>
      <c r="F37" s="28"/>
    </row>
    <row r="38" spans="2:6" x14ac:dyDescent="0.25">
      <c r="B38" s="85" t="s">
        <v>365</v>
      </c>
      <c r="C38" s="86"/>
      <c r="E38" s="29" t="s">
        <v>365</v>
      </c>
      <c r="F38" s="28"/>
    </row>
    <row r="39" spans="2:6" x14ac:dyDescent="0.25">
      <c r="B39" s="107" t="s">
        <v>368</v>
      </c>
      <c r="C39" s="108"/>
      <c r="D39" s="108"/>
      <c r="E39" s="108"/>
      <c r="F39" s="108"/>
    </row>
    <row r="40" spans="2:6" ht="60" x14ac:dyDescent="0.25">
      <c r="B40" s="87"/>
      <c r="C40" s="87" t="s">
        <v>369</v>
      </c>
      <c r="D40" s="87" t="s">
        <v>76</v>
      </c>
      <c r="E40" s="87"/>
      <c r="F40" s="87" t="s">
        <v>370</v>
      </c>
    </row>
    <row r="41" spans="2:6" x14ac:dyDescent="0.25">
      <c r="B41" s="88" t="s">
        <v>361</v>
      </c>
      <c r="C41" s="88"/>
      <c r="D41" s="88"/>
      <c r="E41" s="88"/>
      <c r="F41" s="88"/>
    </row>
    <row r="42" spans="2:6" x14ac:dyDescent="0.25">
      <c r="B42" s="88" t="s">
        <v>362</v>
      </c>
      <c r="C42" s="88"/>
      <c r="D42" s="88"/>
      <c r="E42" s="88"/>
      <c r="F42" s="88"/>
    </row>
    <row r="43" spans="2:6" x14ac:dyDescent="0.25">
      <c r="B43" s="88" t="s">
        <v>363</v>
      </c>
      <c r="C43" s="88"/>
      <c r="D43" s="88"/>
      <c r="E43" s="88"/>
      <c r="F43" s="88"/>
    </row>
    <row r="46" spans="2:6" x14ac:dyDescent="0.25">
      <c r="B46" s="105" t="s">
        <v>372</v>
      </c>
      <c r="C46" s="106"/>
      <c r="D46" s="106"/>
      <c r="E46" s="106"/>
      <c r="F46" s="106"/>
    </row>
    <row r="47" spans="2:6" ht="15" x14ac:dyDescent="0.25">
      <c r="B47" s="73" t="s">
        <v>356</v>
      </c>
      <c r="C47" s="74">
        <v>46276</v>
      </c>
      <c r="E47" s="73" t="s">
        <v>357</v>
      </c>
      <c r="F47" s="31" t="s">
        <v>358</v>
      </c>
    </row>
    <row r="48" spans="2:6" ht="30" x14ac:dyDescent="0.25">
      <c r="B48" s="75" t="s">
        <v>359</v>
      </c>
      <c r="C48" s="8"/>
      <c r="E48" s="76" t="s">
        <v>360</v>
      </c>
      <c r="F48" s="77"/>
    </row>
    <row r="49" spans="2:6" x14ac:dyDescent="0.25">
      <c r="B49" s="78" t="s">
        <v>361</v>
      </c>
      <c r="C49" s="79"/>
      <c r="E49" s="80" t="s">
        <v>361</v>
      </c>
      <c r="F49" s="81"/>
    </row>
    <row r="50" spans="2:6" x14ac:dyDescent="0.25">
      <c r="B50" s="78" t="s">
        <v>362</v>
      </c>
      <c r="C50" s="79"/>
      <c r="E50" s="80" t="s">
        <v>362</v>
      </c>
      <c r="F50" s="81"/>
    </row>
    <row r="51" spans="2:6" x14ac:dyDescent="0.25">
      <c r="B51" s="78" t="s">
        <v>363</v>
      </c>
      <c r="C51" s="79"/>
      <c r="E51" s="80" t="s">
        <v>363</v>
      </c>
      <c r="F51" s="81"/>
    </row>
    <row r="52" spans="2:6" x14ac:dyDescent="0.25">
      <c r="B52" s="78" t="s">
        <v>364</v>
      </c>
      <c r="C52" s="79"/>
      <c r="E52" s="80" t="s">
        <v>364</v>
      </c>
      <c r="F52" s="81"/>
    </row>
    <row r="53" spans="2:6" x14ac:dyDescent="0.25">
      <c r="B53" s="78" t="s">
        <v>365</v>
      </c>
      <c r="C53" s="79"/>
      <c r="E53" s="80" t="s">
        <v>365</v>
      </c>
      <c r="F53" s="81"/>
    </row>
    <row r="54" spans="2:6" ht="30" x14ac:dyDescent="0.25">
      <c r="B54" s="82" t="s">
        <v>366</v>
      </c>
      <c r="C54" s="6"/>
      <c r="E54" s="83" t="s">
        <v>367</v>
      </c>
      <c r="F54" s="84"/>
    </row>
    <row r="55" spans="2:6" x14ac:dyDescent="0.25">
      <c r="B55" s="85" t="s">
        <v>361</v>
      </c>
      <c r="C55" s="86"/>
      <c r="E55" s="29" t="s">
        <v>361</v>
      </c>
      <c r="F55" s="28"/>
    </row>
    <row r="56" spans="2:6" x14ac:dyDescent="0.25">
      <c r="B56" s="85" t="s">
        <v>362</v>
      </c>
      <c r="C56" s="86"/>
      <c r="E56" s="29" t="s">
        <v>362</v>
      </c>
      <c r="F56" s="28"/>
    </row>
    <row r="57" spans="2:6" x14ac:dyDescent="0.25">
      <c r="B57" s="85" t="s">
        <v>363</v>
      </c>
      <c r="C57" s="86"/>
      <c r="E57" s="29" t="s">
        <v>363</v>
      </c>
      <c r="F57" s="28"/>
    </row>
    <row r="58" spans="2:6" x14ac:dyDescent="0.25">
      <c r="B58" s="85" t="s">
        <v>364</v>
      </c>
      <c r="C58" s="86"/>
      <c r="E58" s="29" t="s">
        <v>364</v>
      </c>
      <c r="F58" s="28"/>
    </row>
    <row r="59" spans="2:6" x14ac:dyDescent="0.25">
      <c r="B59" s="85" t="s">
        <v>365</v>
      </c>
      <c r="C59" s="86"/>
      <c r="E59" s="29" t="s">
        <v>365</v>
      </c>
      <c r="F59" s="28"/>
    </row>
    <row r="60" spans="2:6" x14ac:dyDescent="0.25">
      <c r="B60" s="107" t="s">
        <v>368</v>
      </c>
      <c r="C60" s="108"/>
      <c r="D60" s="108"/>
      <c r="E60" s="108"/>
      <c r="F60" s="108"/>
    </row>
    <row r="61" spans="2:6" ht="60" x14ac:dyDescent="0.25">
      <c r="B61" s="87"/>
      <c r="C61" s="87" t="s">
        <v>369</v>
      </c>
      <c r="D61" s="87" t="s">
        <v>76</v>
      </c>
      <c r="E61" s="87"/>
      <c r="F61" s="87" t="s">
        <v>370</v>
      </c>
    </row>
    <row r="62" spans="2:6" x14ac:dyDescent="0.25">
      <c r="B62" s="88" t="s">
        <v>361</v>
      </c>
      <c r="C62" s="88"/>
      <c r="D62" s="88"/>
      <c r="E62" s="88"/>
      <c r="F62" s="88"/>
    </row>
    <row r="63" spans="2:6" x14ac:dyDescent="0.25">
      <c r="B63" s="88" t="s">
        <v>362</v>
      </c>
      <c r="C63" s="88"/>
      <c r="D63" s="88"/>
      <c r="E63" s="88"/>
      <c r="F63" s="88"/>
    </row>
    <row r="64" spans="2:6" x14ac:dyDescent="0.25">
      <c r="B64" s="88" t="s">
        <v>363</v>
      </c>
      <c r="C64" s="88"/>
      <c r="D64" s="88"/>
      <c r="E64" s="88"/>
      <c r="F64" s="88"/>
    </row>
    <row r="67" spans="2:6" x14ac:dyDescent="0.25">
      <c r="B67" s="105" t="s">
        <v>373</v>
      </c>
      <c r="C67" s="106"/>
      <c r="D67" s="106"/>
      <c r="E67" s="106"/>
      <c r="F67" s="106"/>
    </row>
    <row r="68" spans="2:6" ht="15" x14ac:dyDescent="0.25">
      <c r="B68" s="73" t="s">
        <v>356</v>
      </c>
      <c r="C68" s="74">
        <v>46283</v>
      </c>
      <c r="E68" s="73" t="s">
        <v>357</v>
      </c>
      <c r="F68" s="31" t="s">
        <v>358</v>
      </c>
    </row>
    <row r="69" spans="2:6" ht="30" x14ac:dyDescent="0.25">
      <c r="B69" s="75" t="s">
        <v>359</v>
      </c>
      <c r="C69" s="8"/>
      <c r="E69" s="76" t="s">
        <v>360</v>
      </c>
      <c r="F69" s="77"/>
    </row>
    <row r="70" spans="2:6" x14ac:dyDescent="0.25">
      <c r="B70" s="78" t="s">
        <v>361</v>
      </c>
      <c r="C70" s="79"/>
      <c r="E70" s="80" t="s">
        <v>361</v>
      </c>
      <c r="F70" s="81"/>
    </row>
    <row r="71" spans="2:6" x14ac:dyDescent="0.25">
      <c r="B71" s="78" t="s">
        <v>362</v>
      </c>
      <c r="C71" s="79"/>
      <c r="E71" s="80" t="s">
        <v>362</v>
      </c>
      <c r="F71" s="81"/>
    </row>
    <row r="72" spans="2:6" x14ac:dyDescent="0.25">
      <c r="B72" s="78" t="s">
        <v>363</v>
      </c>
      <c r="C72" s="79"/>
      <c r="E72" s="80" t="s">
        <v>363</v>
      </c>
      <c r="F72" s="81"/>
    </row>
    <row r="73" spans="2:6" x14ac:dyDescent="0.25">
      <c r="B73" s="78" t="s">
        <v>364</v>
      </c>
      <c r="C73" s="79"/>
      <c r="E73" s="80" t="s">
        <v>364</v>
      </c>
      <c r="F73" s="81"/>
    </row>
    <row r="74" spans="2:6" x14ac:dyDescent="0.25">
      <c r="B74" s="78" t="s">
        <v>365</v>
      </c>
      <c r="C74" s="79"/>
      <c r="E74" s="80" t="s">
        <v>365</v>
      </c>
      <c r="F74" s="81"/>
    </row>
    <row r="75" spans="2:6" ht="30" x14ac:dyDescent="0.25">
      <c r="B75" s="82" t="s">
        <v>366</v>
      </c>
      <c r="C75" s="6"/>
      <c r="E75" s="83" t="s">
        <v>367</v>
      </c>
      <c r="F75" s="84"/>
    </row>
    <row r="76" spans="2:6" x14ac:dyDescent="0.25">
      <c r="B76" s="85" t="s">
        <v>361</v>
      </c>
      <c r="C76" s="86"/>
      <c r="E76" s="29" t="s">
        <v>361</v>
      </c>
      <c r="F76" s="28"/>
    </row>
    <row r="77" spans="2:6" x14ac:dyDescent="0.25">
      <c r="B77" s="85" t="s">
        <v>362</v>
      </c>
      <c r="C77" s="86"/>
      <c r="E77" s="29" t="s">
        <v>362</v>
      </c>
      <c r="F77" s="28"/>
    </row>
    <row r="78" spans="2:6" x14ac:dyDescent="0.25">
      <c r="B78" s="85" t="s">
        <v>363</v>
      </c>
      <c r="C78" s="86"/>
      <c r="E78" s="29" t="s">
        <v>363</v>
      </c>
      <c r="F78" s="28"/>
    </row>
    <row r="79" spans="2:6" x14ac:dyDescent="0.25">
      <c r="B79" s="85" t="s">
        <v>364</v>
      </c>
      <c r="C79" s="86"/>
      <c r="E79" s="29" t="s">
        <v>364</v>
      </c>
      <c r="F79" s="28"/>
    </row>
    <row r="80" spans="2:6" x14ac:dyDescent="0.25">
      <c r="B80" s="85" t="s">
        <v>365</v>
      </c>
      <c r="C80" s="86"/>
      <c r="E80" s="29" t="s">
        <v>365</v>
      </c>
      <c r="F80" s="28"/>
    </row>
    <row r="81" spans="2:6" x14ac:dyDescent="0.25">
      <c r="B81" s="107" t="s">
        <v>368</v>
      </c>
      <c r="C81" s="108"/>
      <c r="D81" s="108"/>
      <c r="E81" s="108"/>
      <c r="F81" s="108"/>
    </row>
    <row r="82" spans="2:6" ht="60" x14ac:dyDescent="0.25">
      <c r="B82" s="87"/>
      <c r="C82" s="87" t="s">
        <v>369</v>
      </c>
      <c r="D82" s="87" t="s">
        <v>76</v>
      </c>
      <c r="E82" s="87"/>
      <c r="F82" s="87" t="s">
        <v>370</v>
      </c>
    </row>
    <row r="83" spans="2:6" x14ac:dyDescent="0.25">
      <c r="B83" s="88" t="s">
        <v>361</v>
      </c>
      <c r="C83" s="88"/>
      <c r="D83" s="88"/>
      <c r="E83" s="88"/>
      <c r="F83" s="88"/>
    </row>
    <row r="84" spans="2:6" x14ac:dyDescent="0.25">
      <c r="B84" s="88" t="s">
        <v>362</v>
      </c>
      <c r="C84" s="88"/>
      <c r="D84" s="88"/>
      <c r="E84" s="88"/>
      <c r="F84" s="88"/>
    </row>
    <row r="85" spans="2:6" x14ac:dyDescent="0.25">
      <c r="B85" s="88" t="s">
        <v>363</v>
      </c>
      <c r="C85" s="88"/>
      <c r="D85" s="88"/>
      <c r="E85" s="88"/>
      <c r="F85" s="88"/>
    </row>
    <row r="88" spans="2:6" x14ac:dyDescent="0.25">
      <c r="B88" s="105" t="s">
        <v>374</v>
      </c>
      <c r="C88" s="106"/>
      <c r="D88" s="106"/>
      <c r="E88" s="106"/>
      <c r="F88" s="106"/>
    </row>
    <row r="89" spans="2:6" ht="15" x14ac:dyDescent="0.25">
      <c r="B89" s="73" t="s">
        <v>356</v>
      </c>
      <c r="C89" s="74">
        <v>46290</v>
      </c>
      <c r="E89" s="73" t="s">
        <v>357</v>
      </c>
      <c r="F89" s="31" t="s">
        <v>358</v>
      </c>
    </row>
    <row r="90" spans="2:6" ht="30" x14ac:dyDescent="0.25">
      <c r="B90" s="75" t="s">
        <v>359</v>
      </c>
      <c r="C90" s="8"/>
      <c r="E90" s="76" t="s">
        <v>360</v>
      </c>
      <c r="F90" s="77"/>
    </row>
    <row r="91" spans="2:6" x14ac:dyDescent="0.25">
      <c r="B91" s="78" t="s">
        <v>361</v>
      </c>
      <c r="C91" s="79"/>
      <c r="E91" s="80" t="s">
        <v>361</v>
      </c>
      <c r="F91" s="81"/>
    </row>
    <row r="92" spans="2:6" x14ac:dyDescent="0.25">
      <c r="B92" s="78" t="s">
        <v>362</v>
      </c>
      <c r="C92" s="79"/>
      <c r="E92" s="80" t="s">
        <v>362</v>
      </c>
      <c r="F92" s="81"/>
    </row>
    <row r="93" spans="2:6" x14ac:dyDescent="0.25">
      <c r="B93" s="78" t="s">
        <v>363</v>
      </c>
      <c r="C93" s="79"/>
      <c r="E93" s="80" t="s">
        <v>363</v>
      </c>
      <c r="F93" s="81"/>
    </row>
    <row r="94" spans="2:6" x14ac:dyDescent="0.25">
      <c r="B94" s="78" t="s">
        <v>364</v>
      </c>
      <c r="C94" s="79"/>
      <c r="E94" s="80" t="s">
        <v>364</v>
      </c>
      <c r="F94" s="81"/>
    </row>
    <row r="95" spans="2:6" x14ac:dyDescent="0.25">
      <c r="B95" s="78" t="s">
        <v>365</v>
      </c>
      <c r="C95" s="79"/>
      <c r="E95" s="80" t="s">
        <v>365</v>
      </c>
      <c r="F95" s="81"/>
    </row>
    <row r="96" spans="2:6" ht="30" x14ac:dyDescent="0.25">
      <c r="B96" s="82" t="s">
        <v>366</v>
      </c>
      <c r="C96" s="6"/>
      <c r="E96" s="83" t="s">
        <v>367</v>
      </c>
      <c r="F96" s="84"/>
    </row>
    <row r="97" spans="2:6" x14ac:dyDescent="0.25">
      <c r="B97" s="85" t="s">
        <v>361</v>
      </c>
      <c r="C97" s="86"/>
      <c r="E97" s="29" t="s">
        <v>361</v>
      </c>
      <c r="F97" s="28"/>
    </row>
    <row r="98" spans="2:6" x14ac:dyDescent="0.25">
      <c r="B98" s="85" t="s">
        <v>362</v>
      </c>
      <c r="C98" s="86"/>
      <c r="E98" s="29" t="s">
        <v>362</v>
      </c>
      <c r="F98" s="28"/>
    </row>
    <row r="99" spans="2:6" x14ac:dyDescent="0.25">
      <c r="B99" s="85" t="s">
        <v>363</v>
      </c>
      <c r="C99" s="86"/>
      <c r="E99" s="29" t="s">
        <v>363</v>
      </c>
      <c r="F99" s="28"/>
    </row>
    <row r="100" spans="2:6" x14ac:dyDescent="0.25">
      <c r="B100" s="85" t="s">
        <v>364</v>
      </c>
      <c r="C100" s="86"/>
      <c r="E100" s="29" t="s">
        <v>364</v>
      </c>
      <c r="F100" s="28"/>
    </row>
    <row r="101" spans="2:6" x14ac:dyDescent="0.25">
      <c r="B101" s="85" t="s">
        <v>365</v>
      </c>
      <c r="C101" s="86"/>
      <c r="E101" s="29" t="s">
        <v>365</v>
      </c>
      <c r="F101" s="28"/>
    </row>
    <row r="102" spans="2:6" x14ac:dyDescent="0.25">
      <c r="B102" s="107" t="s">
        <v>368</v>
      </c>
      <c r="C102" s="108"/>
      <c r="D102" s="108"/>
      <c r="E102" s="108"/>
      <c r="F102" s="108"/>
    </row>
    <row r="103" spans="2:6" ht="60" x14ac:dyDescent="0.25">
      <c r="B103" s="87"/>
      <c r="C103" s="87" t="s">
        <v>369</v>
      </c>
      <c r="D103" s="87" t="s">
        <v>76</v>
      </c>
      <c r="E103" s="87"/>
      <c r="F103" s="87" t="s">
        <v>370</v>
      </c>
    </row>
    <row r="104" spans="2:6" x14ac:dyDescent="0.25">
      <c r="B104" s="88" t="s">
        <v>361</v>
      </c>
      <c r="C104" s="88"/>
      <c r="D104" s="88"/>
      <c r="E104" s="88"/>
      <c r="F104" s="88"/>
    </row>
    <row r="105" spans="2:6" x14ac:dyDescent="0.25">
      <c r="B105" s="88" t="s">
        <v>362</v>
      </c>
      <c r="C105" s="88"/>
      <c r="D105" s="88"/>
      <c r="E105" s="88"/>
      <c r="F105" s="88"/>
    </row>
    <row r="106" spans="2:6" x14ac:dyDescent="0.25">
      <c r="B106" s="88" t="s">
        <v>363</v>
      </c>
      <c r="C106" s="88"/>
      <c r="D106" s="88"/>
      <c r="E106" s="88"/>
      <c r="F106" s="88"/>
    </row>
    <row r="109" spans="2:6" x14ac:dyDescent="0.25">
      <c r="B109" s="105" t="s">
        <v>375</v>
      </c>
      <c r="C109" s="106"/>
      <c r="D109" s="106"/>
      <c r="E109" s="106"/>
      <c r="F109" s="106"/>
    </row>
    <row r="110" spans="2:6" ht="15" x14ac:dyDescent="0.25">
      <c r="B110" s="73" t="s">
        <v>356</v>
      </c>
      <c r="C110" s="74">
        <v>46297</v>
      </c>
      <c r="E110" s="73" t="s">
        <v>357</v>
      </c>
      <c r="F110" s="31" t="s">
        <v>358</v>
      </c>
    </row>
    <row r="111" spans="2:6" ht="30" x14ac:dyDescent="0.25">
      <c r="B111" s="75" t="s">
        <v>359</v>
      </c>
      <c r="C111" s="8"/>
      <c r="E111" s="76" t="s">
        <v>360</v>
      </c>
      <c r="F111" s="77"/>
    </row>
    <row r="112" spans="2:6" x14ac:dyDescent="0.25">
      <c r="B112" s="78" t="s">
        <v>361</v>
      </c>
      <c r="C112" s="79"/>
      <c r="E112" s="80" t="s">
        <v>361</v>
      </c>
      <c r="F112" s="81"/>
    </row>
    <row r="113" spans="2:6" x14ac:dyDescent="0.25">
      <c r="B113" s="78" t="s">
        <v>362</v>
      </c>
      <c r="C113" s="79"/>
      <c r="E113" s="80" t="s">
        <v>362</v>
      </c>
      <c r="F113" s="81"/>
    </row>
    <row r="114" spans="2:6" x14ac:dyDescent="0.25">
      <c r="B114" s="78" t="s">
        <v>363</v>
      </c>
      <c r="C114" s="79"/>
      <c r="E114" s="80" t="s">
        <v>363</v>
      </c>
      <c r="F114" s="81"/>
    </row>
    <row r="115" spans="2:6" x14ac:dyDescent="0.25">
      <c r="B115" s="78" t="s">
        <v>364</v>
      </c>
      <c r="C115" s="79"/>
      <c r="E115" s="80" t="s">
        <v>364</v>
      </c>
      <c r="F115" s="81"/>
    </row>
    <row r="116" spans="2:6" x14ac:dyDescent="0.25">
      <c r="B116" s="78" t="s">
        <v>365</v>
      </c>
      <c r="C116" s="79"/>
      <c r="E116" s="80" t="s">
        <v>365</v>
      </c>
      <c r="F116" s="81"/>
    </row>
    <row r="117" spans="2:6" ht="30" x14ac:dyDescent="0.25">
      <c r="B117" s="82" t="s">
        <v>366</v>
      </c>
      <c r="C117" s="6"/>
      <c r="E117" s="83" t="s">
        <v>367</v>
      </c>
      <c r="F117" s="84"/>
    </row>
    <row r="118" spans="2:6" x14ac:dyDescent="0.25">
      <c r="B118" s="85" t="s">
        <v>361</v>
      </c>
      <c r="C118" s="86"/>
      <c r="E118" s="29" t="s">
        <v>361</v>
      </c>
      <c r="F118" s="28"/>
    </row>
    <row r="119" spans="2:6" x14ac:dyDescent="0.25">
      <c r="B119" s="85" t="s">
        <v>362</v>
      </c>
      <c r="C119" s="86"/>
      <c r="E119" s="29" t="s">
        <v>362</v>
      </c>
      <c r="F119" s="28"/>
    </row>
    <row r="120" spans="2:6" x14ac:dyDescent="0.25">
      <c r="B120" s="85" t="s">
        <v>363</v>
      </c>
      <c r="C120" s="86"/>
      <c r="E120" s="29" t="s">
        <v>363</v>
      </c>
      <c r="F120" s="28"/>
    </row>
    <row r="121" spans="2:6" x14ac:dyDescent="0.25">
      <c r="B121" s="85" t="s">
        <v>364</v>
      </c>
      <c r="C121" s="86"/>
      <c r="E121" s="29" t="s">
        <v>364</v>
      </c>
      <c r="F121" s="28"/>
    </row>
    <row r="122" spans="2:6" x14ac:dyDescent="0.25">
      <c r="B122" s="85" t="s">
        <v>365</v>
      </c>
      <c r="C122" s="86"/>
      <c r="E122" s="29" t="s">
        <v>365</v>
      </c>
      <c r="F122" s="28"/>
    </row>
    <row r="123" spans="2:6" x14ac:dyDescent="0.25">
      <c r="B123" s="107" t="s">
        <v>368</v>
      </c>
      <c r="C123" s="108"/>
      <c r="D123" s="108"/>
      <c r="E123" s="108"/>
      <c r="F123" s="108"/>
    </row>
    <row r="124" spans="2:6" ht="60" x14ac:dyDescent="0.25">
      <c r="B124" s="87"/>
      <c r="C124" s="87" t="s">
        <v>369</v>
      </c>
      <c r="D124" s="87" t="s">
        <v>76</v>
      </c>
      <c r="E124" s="87"/>
      <c r="F124" s="87" t="s">
        <v>370</v>
      </c>
    </row>
    <row r="125" spans="2:6" x14ac:dyDescent="0.25">
      <c r="B125" s="88" t="s">
        <v>361</v>
      </c>
      <c r="C125" s="88"/>
      <c r="D125" s="88"/>
      <c r="E125" s="88"/>
      <c r="F125" s="88"/>
    </row>
    <row r="126" spans="2:6" x14ac:dyDescent="0.25">
      <c r="B126" s="88" t="s">
        <v>362</v>
      </c>
      <c r="C126" s="88"/>
      <c r="D126" s="88"/>
      <c r="E126" s="88"/>
      <c r="F126" s="88"/>
    </row>
    <row r="127" spans="2:6" x14ac:dyDescent="0.25">
      <c r="B127" s="88" t="s">
        <v>363</v>
      </c>
      <c r="C127" s="88"/>
      <c r="D127" s="88"/>
      <c r="E127" s="88"/>
      <c r="F127" s="88"/>
    </row>
    <row r="130" spans="2:6" x14ac:dyDescent="0.25">
      <c r="B130" s="105" t="s">
        <v>376</v>
      </c>
      <c r="C130" s="106"/>
      <c r="D130" s="106"/>
      <c r="E130" s="106"/>
      <c r="F130" s="106"/>
    </row>
    <row r="131" spans="2:6" ht="15" x14ac:dyDescent="0.25">
      <c r="B131" s="73" t="s">
        <v>356</v>
      </c>
      <c r="C131" s="74">
        <v>46304</v>
      </c>
      <c r="E131" s="73" t="s">
        <v>357</v>
      </c>
      <c r="F131" s="31" t="s">
        <v>358</v>
      </c>
    </row>
    <row r="132" spans="2:6" ht="30" x14ac:dyDescent="0.25">
      <c r="B132" s="75" t="s">
        <v>359</v>
      </c>
      <c r="C132" s="8"/>
      <c r="E132" s="76" t="s">
        <v>360</v>
      </c>
      <c r="F132" s="77"/>
    </row>
    <row r="133" spans="2:6" x14ac:dyDescent="0.25">
      <c r="B133" s="78" t="s">
        <v>361</v>
      </c>
      <c r="C133" s="79"/>
      <c r="E133" s="80" t="s">
        <v>361</v>
      </c>
      <c r="F133" s="81"/>
    </row>
    <row r="134" spans="2:6" x14ac:dyDescent="0.25">
      <c r="B134" s="78" t="s">
        <v>362</v>
      </c>
      <c r="C134" s="79"/>
      <c r="E134" s="80" t="s">
        <v>362</v>
      </c>
      <c r="F134" s="81"/>
    </row>
    <row r="135" spans="2:6" x14ac:dyDescent="0.25">
      <c r="B135" s="78" t="s">
        <v>363</v>
      </c>
      <c r="C135" s="79"/>
      <c r="E135" s="80" t="s">
        <v>363</v>
      </c>
      <c r="F135" s="81"/>
    </row>
    <row r="136" spans="2:6" x14ac:dyDescent="0.25">
      <c r="B136" s="78" t="s">
        <v>364</v>
      </c>
      <c r="C136" s="79"/>
      <c r="E136" s="80" t="s">
        <v>364</v>
      </c>
      <c r="F136" s="81"/>
    </row>
    <row r="137" spans="2:6" x14ac:dyDescent="0.25">
      <c r="B137" s="78" t="s">
        <v>365</v>
      </c>
      <c r="C137" s="79"/>
      <c r="E137" s="80" t="s">
        <v>365</v>
      </c>
      <c r="F137" s="81"/>
    </row>
    <row r="138" spans="2:6" ht="30" x14ac:dyDescent="0.25">
      <c r="B138" s="82" t="s">
        <v>366</v>
      </c>
      <c r="C138" s="6"/>
      <c r="E138" s="83" t="s">
        <v>367</v>
      </c>
      <c r="F138" s="84"/>
    </row>
    <row r="139" spans="2:6" x14ac:dyDescent="0.25">
      <c r="B139" s="85" t="s">
        <v>361</v>
      </c>
      <c r="C139" s="86"/>
      <c r="E139" s="29" t="s">
        <v>361</v>
      </c>
      <c r="F139" s="28"/>
    </row>
    <row r="140" spans="2:6" x14ac:dyDescent="0.25">
      <c r="B140" s="85" t="s">
        <v>362</v>
      </c>
      <c r="C140" s="86"/>
      <c r="E140" s="29" t="s">
        <v>362</v>
      </c>
      <c r="F140" s="28"/>
    </row>
    <row r="141" spans="2:6" x14ac:dyDescent="0.25">
      <c r="B141" s="85" t="s">
        <v>363</v>
      </c>
      <c r="C141" s="86"/>
      <c r="E141" s="29" t="s">
        <v>363</v>
      </c>
      <c r="F141" s="28"/>
    </row>
    <row r="142" spans="2:6" x14ac:dyDescent="0.25">
      <c r="B142" s="85" t="s">
        <v>364</v>
      </c>
      <c r="C142" s="86"/>
      <c r="E142" s="29" t="s">
        <v>364</v>
      </c>
      <c r="F142" s="28"/>
    </row>
    <row r="143" spans="2:6" x14ac:dyDescent="0.25">
      <c r="B143" s="85" t="s">
        <v>365</v>
      </c>
      <c r="C143" s="86"/>
      <c r="E143" s="29" t="s">
        <v>365</v>
      </c>
      <c r="F143" s="28"/>
    </row>
    <row r="144" spans="2:6" x14ac:dyDescent="0.25">
      <c r="B144" s="107" t="s">
        <v>368</v>
      </c>
      <c r="C144" s="108"/>
      <c r="D144" s="108"/>
      <c r="E144" s="108"/>
      <c r="F144" s="108"/>
    </row>
    <row r="145" spans="2:6" ht="60" x14ac:dyDescent="0.25">
      <c r="B145" s="87"/>
      <c r="C145" s="87" t="s">
        <v>369</v>
      </c>
      <c r="D145" s="87" t="s">
        <v>76</v>
      </c>
      <c r="E145" s="87"/>
      <c r="F145" s="87" t="s">
        <v>370</v>
      </c>
    </row>
    <row r="146" spans="2:6" x14ac:dyDescent="0.25">
      <c r="B146" s="88" t="s">
        <v>361</v>
      </c>
      <c r="C146" s="88"/>
      <c r="D146" s="88"/>
      <c r="E146" s="88"/>
      <c r="F146" s="88"/>
    </row>
    <row r="147" spans="2:6" x14ac:dyDescent="0.25">
      <c r="B147" s="88" t="s">
        <v>362</v>
      </c>
      <c r="C147" s="88"/>
      <c r="D147" s="88"/>
      <c r="E147" s="88"/>
      <c r="F147" s="88"/>
    </row>
    <row r="148" spans="2:6" x14ac:dyDescent="0.25">
      <c r="B148" s="88" t="s">
        <v>363</v>
      </c>
      <c r="C148" s="88"/>
      <c r="D148" s="88"/>
      <c r="E148" s="88"/>
      <c r="F148" s="88"/>
    </row>
    <row r="151" spans="2:6" x14ac:dyDescent="0.25">
      <c r="B151" s="105" t="s">
        <v>377</v>
      </c>
      <c r="C151" s="106"/>
      <c r="D151" s="106"/>
      <c r="E151" s="106"/>
      <c r="F151" s="106"/>
    </row>
    <row r="152" spans="2:6" ht="15" x14ac:dyDescent="0.25">
      <c r="B152" s="73" t="s">
        <v>356</v>
      </c>
      <c r="C152" s="74">
        <v>46311</v>
      </c>
      <c r="E152" s="73" t="s">
        <v>357</v>
      </c>
      <c r="F152" s="31" t="s">
        <v>358</v>
      </c>
    </row>
    <row r="153" spans="2:6" ht="30" x14ac:dyDescent="0.25">
      <c r="B153" s="75" t="s">
        <v>359</v>
      </c>
      <c r="C153" s="8"/>
      <c r="E153" s="76" t="s">
        <v>360</v>
      </c>
      <c r="F153" s="77"/>
    </row>
    <row r="154" spans="2:6" x14ac:dyDescent="0.25">
      <c r="B154" s="78" t="s">
        <v>361</v>
      </c>
      <c r="C154" s="79"/>
      <c r="E154" s="80" t="s">
        <v>361</v>
      </c>
      <c r="F154" s="81"/>
    </row>
    <row r="155" spans="2:6" x14ac:dyDescent="0.25">
      <c r="B155" s="78" t="s">
        <v>362</v>
      </c>
      <c r="C155" s="79"/>
      <c r="E155" s="80" t="s">
        <v>362</v>
      </c>
      <c r="F155" s="81"/>
    </row>
    <row r="156" spans="2:6" x14ac:dyDescent="0.25">
      <c r="B156" s="78" t="s">
        <v>363</v>
      </c>
      <c r="C156" s="79"/>
      <c r="E156" s="80" t="s">
        <v>363</v>
      </c>
      <c r="F156" s="81"/>
    </row>
    <row r="157" spans="2:6" x14ac:dyDescent="0.25">
      <c r="B157" s="78" t="s">
        <v>364</v>
      </c>
      <c r="C157" s="79"/>
      <c r="E157" s="80" t="s">
        <v>364</v>
      </c>
      <c r="F157" s="81"/>
    </row>
    <row r="158" spans="2:6" x14ac:dyDescent="0.25">
      <c r="B158" s="78" t="s">
        <v>365</v>
      </c>
      <c r="C158" s="79"/>
      <c r="E158" s="80" t="s">
        <v>365</v>
      </c>
      <c r="F158" s="81"/>
    </row>
    <row r="159" spans="2:6" ht="30" x14ac:dyDescent="0.25">
      <c r="B159" s="82" t="s">
        <v>366</v>
      </c>
      <c r="C159" s="6"/>
      <c r="E159" s="83" t="s">
        <v>367</v>
      </c>
      <c r="F159" s="84"/>
    </row>
    <row r="160" spans="2:6" x14ac:dyDescent="0.25">
      <c r="B160" s="85" t="s">
        <v>361</v>
      </c>
      <c r="C160" s="86"/>
      <c r="E160" s="29" t="s">
        <v>361</v>
      </c>
      <c r="F160" s="28"/>
    </row>
    <row r="161" spans="2:6" x14ac:dyDescent="0.25">
      <c r="B161" s="85" t="s">
        <v>362</v>
      </c>
      <c r="C161" s="86"/>
      <c r="E161" s="29" t="s">
        <v>362</v>
      </c>
      <c r="F161" s="28"/>
    </row>
    <row r="162" spans="2:6" x14ac:dyDescent="0.25">
      <c r="B162" s="85" t="s">
        <v>363</v>
      </c>
      <c r="C162" s="86"/>
      <c r="E162" s="29" t="s">
        <v>363</v>
      </c>
      <c r="F162" s="28"/>
    </row>
    <row r="163" spans="2:6" x14ac:dyDescent="0.25">
      <c r="B163" s="85" t="s">
        <v>364</v>
      </c>
      <c r="C163" s="86"/>
      <c r="E163" s="29" t="s">
        <v>364</v>
      </c>
      <c r="F163" s="28"/>
    </row>
    <row r="164" spans="2:6" x14ac:dyDescent="0.25">
      <c r="B164" s="85" t="s">
        <v>365</v>
      </c>
      <c r="C164" s="86"/>
      <c r="E164" s="29" t="s">
        <v>365</v>
      </c>
      <c r="F164" s="28"/>
    </row>
    <row r="165" spans="2:6" x14ac:dyDescent="0.25">
      <c r="B165" s="107" t="s">
        <v>368</v>
      </c>
      <c r="C165" s="108"/>
      <c r="D165" s="108"/>
      <c r="E165" s="108"/>
      <c r="F165" s="108"/>
    </row>
    <row r="166" spans="2:6" ht="60" x14ac:dyDescent="0.25">
      <c r="B166" s="87"/>
      <c r="C166" s="87" t="s">
        <v>369</v>
      </c>
      <c r="D166" s="87" t="s">
        <v>76</v>
      </c>
      <c r="E166" s="87"/>
      <c r="F166" s="87" t="s">
        <v>370</v>
      </c>
    </row>
    <row r="167" spans="2:6" x14ac:dyDescent="0.25">
      <c r="B167" s="88" t="s">
        <v>361</v>
      </c>
      <c r="C167" s="88"/>
      <c r="D167" s="88"/>
      <c r="E167" s="88"/>
      <c r="F167" s="88"/>
    </row>
    <row r="168" spans="2:6" x14ac:dyDescent="0.25">
      <c r="B168" s="88" t="s">
        <v>362</v>
      </c>
      <c r="C168" s="88"/>
      <c r="D168" s="88"/>
      <c r="E168" s="88"/>
      <c r="F168" s="88"/>
    </row>
    <row r="169" spans="2:6" x14ac:dyDescent="0.25">
      <c r="B169" s="88" t="s">
        <v>363</v>
      </c>
      <c r="C169" s="88"/>
      <c r="D169" s="88"/>
      <c r="E169" s="88"/>
      <c r="F169" s="88"/>
    </row>
    <row r="172" spans="2:6" x14ac:dyDescent="0.25">
      <c r="B172" s="105" t="s">
        <v>378</v>
      </c>
      <c r="C172" s="106"/>
      <c r="D172" s="106"/>
      <c r="E172" s="106"/>
      <c r="F172" s="106"/>
    </row>
    <row r="173" spans="2:6" ht="15" x14ac:dyDescent="0.25">
      <c r="B173" s="73" t="s">
        <v>356</v>
      </c>
      <c r="C173" s="74">
        <v>46318</v>
      </c>
      <c r="E173" s="73" t="s">
        <v>357</v>
      </c>
      <c r="F173" s="31" t="s">
        <v>358</v>
      </c>
    </row>
    <row r="174" spans="2:6" ht="30" x14ac:dyDescent="0.25">
      <c r="B174" s="75" t="s">
        <v>359</v>
      </c>
      <c r="C174" s="8"/>
      <c r="E174" s="76" t="s">
        <v>360</v>
      </c>
      <c r="F174" s="77"/>
    </row>
    <row r="175" spans="2:6" x14ac:dyDescent="0.25">
      <c r="B175" s="78" t="s">
        <v>361</v>
      </c>
      <c r="C175" s="79"/>
      <c r="E175" s="80" t="s">
        <v>361</v>
      </c>
      <c r="F175" s="81"/>
    </row>
    <row r="176" spans="2:6" x14ac:dyDescent="0.25">
      <c r="B176" s="78" t="s">
        <v>362</v>
      </c>
      <c r="C176" s="79"/>
      <c r="E176" s="80" t="s">
        <v>362</v>
      </c>
      <c r="F176" s="81"/>
    </row>
    <row r="177" spans="2:6" x14ac:dyDescent="0.25">
      <c r="B177" s="78" t="s">
        <v>363</v>
      </c>
      <c r="C177" s="79"/>
      <c r="E177" s="80" t="s">
        <v>363</v>
      </c>
      <c r="F177" s="81"/>
    </row>
    <row r="178" spans="2:6" x14ac:dyDescent="0.25">
      <c r="B178" s="78" t="s">
        <v>364</v>
      </c>
      <c r="C178" s="79"/>
      <c r="E178" s="80" t="s">
        <v>364</v>
      </c>
      <c r="F178" s="81"/>
    </row>
    <row r="179" spans="2:6" x14ac:dyDescent="0.25">
      <c r="B179" s="78" t="s">
        <v>365</v>
      </c>
      <c r="C179" s="79"/>
      <c r="E179" s="80" t="s">
        <v>365</v>
      </c>
      <c r="F179" s="81"/>
    </row>
    <row r="180" spans="2:6" ht="30" x14ac:dyDescent="0.25">
      <c r="B180" s="82" t="s">
        <v>366</v>
      </c>
      <c r="C180" s="6"/>
      <c r="E180" s="83" t="s">
        <v>367</v>
      </c>
      <c r="F180" s="84"/>
    </row>
    <row r="181" spans="2:6" x14ac:dyDescent="0.25">
      <c r="B181" s="85" t="s">
        <v>361</v>
      </c>
      <c r="C181" s="86"/>
      <c r="E181" s="29" t="s">
        <v>361</v>
      </c>
      <c r="F181" s="28"/>
    </row>
    <row r="182" spans="2:6" x14ac:dyDescent="0.25">
      <c r="B182" s="85" t="s">
        <v>362</v>
      </c>
      <c r="C182" s="86"/>
      <c r="E182" s="29" t="s">
        <v>362</v>
      </c>
      <c r="F182" s="28"/>
    </row>
    <row r="183" spans="2:6" x14ac:dyDescent="0.25">
      <c r="B183" s="85" t="s">
        <v>363</v>
      </c>
      <c r="C183" s="86"/>
      <c r="E183" s="29" t="s">
        <v>363</v>
      </c>
      <c r="F183" s="28"/>
    </row>
    <row r="184" spans="2:6" x14ac:dyDescent="0.25">
      <c r="B184" s="85" t="s">
        <v>364</v>
      </c>
      <c r="C184" s="86"/>
      <c r="E184" s="29" t="s">
        <v>364</v>
      </c>
      <c r="F184" s="28"/>
    </row>
    <row r="185" spans="2:6" x14ac:dyDescent="0.25">
      <c r="B185" s="85" t="s">
        <v>365</v>
      </c>
      <c r="C185" s="86"/>
      <c r="E185" s="29" t="s">
        <v>365</v>
      </c>
      <c r="F185" s="28"/>
    </row>
    <row r="186" spans="2:6" x14ac:dyDescent="0.25">
      <c r="B186" s="107" t="s">
        <v>368</v>
      </c>
      <c r="C186" s="108"/>
      <c r="D186" s="108"/>
      <c r="E186" s="108"/>
      <c r="F186" s="108"/>
    </row>
    <row r="187" spans="2:6" ht="60" x14ac:dyDescent="0.25">
      <c r="B187" s="87"/>
      <c r="C187" s="87" t="s">
        <v>369</v>
      </c>
      <c r="D187" s="87" t="s">
        <v>76</v>
      </c>
      <c r="E187" s="87"/>
      <c r="F187" s="87" t="s">
        <v>370</v>
      </c>
    </row>
    <row r="188" spans="2:6" x14ac:dyDescent="0.25">
      <c r="B188" s="88" t="s">
        <v>361</v>
      </c>
      <c r="C188" s="88"/>
      <c r="D188" s="88"/>
      <c r="E188" s="88"/>
      <c r="F188" s="88"/>
    </row>
    <row r="189" spans="2:6" x14ac:dyDescent="0.25">
      <c r="B189" s="88" t="s">
        <v>362</v>
      </c>
      <c r="C189" s="88"/>
      <c r="D189" s="88"/>
      <c r="E189" s="88"/>
      <c r="F189" s="88"/>
    </row>
    <row r="190" spans="2:6" x14ac:dyDescent="0.25">
      <c r="B190" s="88" t="s">
        <v>363</v>
      </c>
      <c r="C190" s="88"/>
      <c r="D190" s="88"/>
      <c r="E190" s="88"/>
      <c r="F190" s="88"/>
    </row>
  </sheetData>
  <mergeCells count="20">
    <mergeCell ref="A1:G1"/>
    <mergeCell ref="B172:F172"/>
    <mergeCell ref="B186:F186"/>
    <mergeCell ref="A2:G2"/>
    <mergeCell ref="B123:F123"/>
    <mergeCell ref="B165:F165"/>
    <mergeCell ref="B46:F46"/>
    <mergeCell ref="B102:F102"/>
    <mergeCell ref="B18:F18"/>
    <mergeCell ref="B130:F130"/>
    <mergeCell ref="B39:F39"/>
    <mergeCell ref="B151:F151"/>
    <mergeCell ref="B60:F60"/>
    <mergeCell ref="B67:F67"/>
    <mergeCell ref="B88:F88"/>
    <mergeCell ref="B4:F4"/>
    <mergeCell ref="B144:F144"/>
    <mergeCell ref="B109:F109"/>
    <mergeCell ref="B81:F81"/>
    <mergeCell ref="B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TASK_TRACKER</vt:lpstr>
      <vt:lpstr>GANTT_VIEW</vt:lpstr>
      <vt:lpstr>RISK_LOG</vt:lpstr>
      <vt:lpstr>WEEKLY_REPORT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TRAN</cp:lastModifiedBy>
  <dcterms:created xsi:type="dcterms:W3CDTF">2026-08-23T14:14:56Z</dcterms:created>
  <dcterms:modified xsi:type="dcterms:W3CDTF">2026-08-23T15:00:26Z</dcterms:modified>
</cp:coreProperties>
</file>