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5"/>
    <sheet state="visible" name="TASK_TRACKER" sheetId="2" r:id="rId6"/>
    <sheet state="visible" name="GANTT_VIEW" sheetId="3" r:id="rId7"/>
    <sheet state="visible" name="RISK_LOG" sheetId="4" r:id="rId8"/>
    <sheet state="visible" name="WEEKLY_REPORT" sheetId="5" r:id="rId9"/>
    <sheet state="visible" name="List đồ cần mua" sheetId="6" r:id="rId10"/>
  </sheets>
  <definedNames>
    <definedName hidden="1" localSheetId="1" name="_xlnm._FilterDatabase">TASK_TRACKER!$A$3:$V$35</definedName>
    <definedName hidden="1" localSheetId="3" name="_xlnm._FilterDatabase">RISK_LOG!$A$3:$K$11</definedName>
  </definedNames>
  <calcPr/>
</workbook>
</file>

<file path=xl/sharedStrings.xml><?xml version="1.0" encoding="utf-8"?>
<sst xmlns="http://schemas.openxmlformats.org/spreadsheetml/2006/main" count="1093" uniqueCount="404">
  <si>
    <t>⚠️ RISK REGISTER — Quadrotor Project</t>
  </si>
  <si>
    <t>📅 GANTT CHART — 9-Week Timeline</t>
  </si>
  <si>
    <t>📋 TASK TRACKER — Quadrotor Follow-Me &amp; Obstacle Avoidance Project</t>
  </si>
  <si>
    <t>Proactive risk management — Required for hardware flight testing</t>
  </si>
  <si>
    <t>Risk ID</t>
  </si>
  <si>
    <t>QUADROTOR PROJECT — BÁM MỤC TIÊU &amp; TRÁNH VẬT CẢN</t>
  </si>
  <si>
    <t>Mô tả rủi ro</t>
  </si>
  <si>
    <t>Probability</t>
  </si>
  <si>
    <t>Impact</t>
  </si>
  <si>
    <t>Risk Score</t>
  </si>
  <si>
    <t>Mitigation Plan</t>
  </si>
  <si>
    <t>Contingency Plan</t>
  </si>
  <si>
    <t>Automatic Target Following &amp; Obstacle Avoidance in Real-Time</t>
  </si>
  <si>
    <t>Owner</t>
  </si>
  <si>
    <t>Start: 24/08/2026 | End: 25/10/2026 | Team: Duy · Tuân · Việt Anh</t>
  </si>
  <si>
    <t>Status</t>
  </si>
  <si>
    <t>Related Tasks</t>
  </si>
  <si>
    <t>Last Updated</t>
  </si>
  <si>
    <t>R01</t>
  </si>
  <si>
    <t>STT</t>
  </si>
  <si>
    <t>No.</t>
  </si>
  <si>
    <t>Camera depth không chính xác ngoài trời do ánh sáng mạnh/IR interference</t>
  </si>
  <si>
    <t>Nội dung</t>
  </si>
  <si>
    <t>Link đính kèm</t>
  </si>
  <si>
    <t>Task ID</t>
  </si>
  <si>
    <t>Giai đoạn</t>
  </si>
  <si>
    <t>Week</t>
  </si>
  <si>
    <t>Module</t>
  </si>
  <si>
    <t>Tên nhiệm vụ</t>
  </si>
  <si>
    <t>Mô tả chi tiết</t>
  </si>
  <si>
    <t>Reviewer</t>
  </si>
  <si>
    <t>Priority</t>
  </si>
  <si>
    <t>Predecessor</t>
  </si>
  <si>
    <t>Planned Start</t>
  </si>
  <si>
    <t>Planned End</t>
  </si>
  <si>
    <t>Mô tả dự án</t>
  </si>
  <si>
    <t>Actual Start</t>
  </si>
  <si>
    <t>Actual End</t>
  </si>
  <si>
    <t>BÁM MỤC TIÊU TỰ ĐỘNG VÀ TRÁNH VẬT CẢN TRONG THỜI GIAN THỰC CHO QUADROTOS</t>
  </si>
  <si>
    <t>% Complete</t>
  </si>
  <si>
    <t>Countdown
(days)</t>
  </si>
  <si>
    <t>High</t>
  </si>
  <si>
    <t>Effort
(hours)</t>
  </si>
  <si>
    <t>Deliverable</t>
  </si>
  <si>
    <t>Acceptance Criteria</t>
  </si>
  <si>
    <t>Notes / Blockers</t>
  </si>
  <si>
    <t>GĐ1-T01</t>
  </si>
  <si>
    <t>GĐ1: Simulation &amp; APF</t>
  </si>
  <si>
    <t>W1</t>
  </si>
  <si>
    <t>Task Name</t>
  </si>
  <si>
    <t>M1</t>
  </si>
  <si>
    <t>Xây dựng mô hình động học 6DOF UAV trên Simulink</t>
  </si>
  <si>
    <t>Mô hình input: lực/moment, output: pose (x,y,z,φ,θ,ψ). Bao gồm mô hình cánh quạt, trọng lực, khí động.</t>
  </si>
  <si>
    <t>🔴 9 (Extreme)</t>
  </si>
  <si>
    <t>Tuân</t>
  </si>
  <si>
    <t>Github dự án</t>
  </si>
  <si>
    <t>Mitigation: Sử dụng stereo matching thay vì structured light depth. Test outdoor trước W5.</t>
  </si>
  <si>
    <t>Duy</t>
  </si>
  <si>
    <t>https://github.com/duytranvan6904/VDT_project.git</t>
  </si>
  <si>
    <t>Fallback: GPS-only relative positioning</t>
  </si>
  <si>
    <t>🔴 Critical</t>
  </si>
  <si>
    <t>—</t>
  </si>
  <si>
    <t>Open</t>
  </si>
  <si>
    <t>GĐ1-T06, GĐ3-T05</t>
  </si>
  <si>
    <t>W2</t>
  </si>
  <si>
    <t>Project Start</t>
  </si>
  <si>
    <t>⬜ Not Started</t>
  </si>
  <si>
    <t>Project End</t>
  </si>
  <si>
    <t>Duration</t>
  </si>
  <si>
    <t>Today</t>
  </si>
  <si>
    <t>Days Remaining</t>
  </si>
  <si>
    <t>R02</t>
  </si>
  <si>
    <t>24/08/2026</t>
  </si>
  <si>
    <t>25/10/2026</t>
  </si>
  <si>
    <t>9 tuần</t>
  </si>
  <si>
    <t>W3</t>
  </si>
  <si>
    <t>W4</t>
  </si>
  <si>
    <t>TensorRT conversion fail hoặc FPS quá thấp trên máy tính nhúng</t>
  </si>
  <si>
    <t>W5</t>
  </si>
  <si>
    <t>W6</t>
  </si>
  <si>
    <t>W7</t>
  </si>
  <si>
    <t>File .slx mô hình UAV</t>
  </si>
  <si>
    <t>Mô hình chạy ổn định, output đúng physical unit</t>
  </si>
  <si>
    <t>W8</t>
  </si>
  <si>
    <t>Medium</t>
  </si>
  <si>
    <t>W9</t>
  </si>
  <si>
    <t>GĐ1-T02</t>
  </si>
  <si>
    <t>🟡 6 (High)</t>
  </si>
  <si>
    <t>M8</t>
  </si>
  <si>
    <t>Lập trình hàm APF: lực hút, lực đẩy, Modified APF</t>
  </si>
  <si>
    <t>Mitigation: Chuẩn bị model nhẹ hơn (YOLOv8n). Test conversion sớm từ W3.</t>
  </si>
  <si>
    <t>Fallback: Chạy ONNX Runtime thay TensorRT</t>
  </si>
  <si>
    <t>TEAM MEMBERS</t>
  </si>
  <si>
    <t>Triển khai Attractive Potential, Repulsive Potential, xử lý GNRON (Goal Non-Reachable with Obstacles Nearby), lực xoay chống Local Minima.</t>
  </si>
  <si>
    <t>GĐ3-T03</t>
  </si>
  <si>
    <t>R03</t>
  </si>
  <si>
    <t>Member</t>
  </si>
  <si>
    <t>Giao tiếp UART/USB giữa companion computer và PX4 không ổn định</t>
  </si>
  <si>
    <t>Role</t>
  </si>
  <si>
    <t>Tasks Assigned</t>
  </si>
  <si>
    <t>Tasks Completed</t>
  </si>
  <si>
    <t>Completion %</t>
  </si>
  <si>
    <t>Xử lý tín hiệu &amp; Định vị</t>
  </si>
  <si>
    <t>Module APF (.m/.slx)</t>
  </si>
  <si>
    <t>APF hội tụ với ≥ 5 cấu hình vật cản khác nhau</t>
  </si>
  <si>
    <t>GĐ1-T03</t>
  </si>
  <si>
    <t>M2</t>
  </si>
  <si>
    <t>Nghiên cứu &amp; chuẩn bị pipeline YOLO detection</t>
  </si>
  <si>
    <t>Critical</t>
  </si>
  <si>
    <t>Survey YOLO versions (v8/v11), chọn model phù hợp cho embedded. Chuẩn bị dataset, test trên PC.</t>
  </si>
  <si>
    <t>🟡 8 (High)</t>
  </si>
  <si>
    <t>Mitigation: Test kỹ baudrate, cable quality. Có backup cable.</t>
  </si>
  <si>
    <t>🟡 High</t>
  </si>
  <si>
    <t>Fallback: Sử dụng Ethernet/WiFi bridge</t>
  </si>
  <si>
    <t>Việt Anh</t>
  </si>
  <si>
    <t>GĐ3-T02</t>
  </si>
  <si>
    <t>Report chọn model + benchmark</t>
  </si>
  <si>
    <t>R04</t>
  </si>
  <si>
    <t>Model chạy được trên PC, mAP &gt; 0.7 trên test set</t>
  </si>
  <si>
    <t>GĐ1-T04</t>
  </si>
  <si>
    <t>GPS drift gây sai lệch vị trí khi bay outdoor</t>
  </si>
  <si>
    <t>Cài đặt Ubuntu + ROS 2 Humble + PX4-Autopilot</t>
  </si>
  <si>
    <t>Setup dual-boot/VM, cài ROS 2 Humble, PX4 SITL, Gazebo Garden. Đảm bảo build thành công.</t>
  </si>
  <si>
    <t>Mitigation: Sử dụng relative position (camera-based) thay vì absolute GPS.</t>
  </si>
  <si>
    <t>Fallback: Bay trong khu vực có RTK GPS</t>
  </si>
  <si>
    <t>GĐ3-T08</t>
  </si>
  <si>
    <t>R05</t>
  </si>
  <si>
    <t>Screenshot build thành công</t>
  </si>
  <si>
    <t>PX4 SITL + Gazebo chạy được, ROS 2 topic nhận được</t>
  </si>
  <si>
    <t>Wind disturbance gây mất ổn định khi bay thực</t>
  </si>
  <si>
    <t>GĐ1-T05</t>
  </si>
  <si>
    <t>Quét bộ thông số APF (k_att, k_rep, d0) trên Simulink</t>
  </si>
  <si>
    <t>Mitigation: Chọn ngày gió nhẹ &lt; 3 m/s. Tune PID cho wind rejection.</t>
  </si>
  <si>
    <t>Fallback: Bay indoor trong nhà kho/gym lớn</t>
  </si>
  <si>
    <t>Chạy Monte Carlo/grid search trên các bộ thông số. Tìm bộ tối ưu cho nhiều kịch bản vật cản.</t>
  </si>
  <si>
    <t>GĐ3-T08, GĐ4-T02</t>
  </si>
  <si>
    <t>R06</t>
  </si>
  <si>
    <t>Local Minima trong APF - UAV bị kẹt giữa các vật cản</t>
  </si>
  <si>
    <t>Bảng thông số tối ưu + đồ thị quỹ đạo</t>
  </si>
  <si>
    <t>Tracking error &lt; 0.3m trên simulation, quỹ đạo mượt</t>
  </si>
  <si>
    <t>GĐ1-T06</t>
  </si>
  <si>
    <t>🟠 4 (Medium)</t>
  </si>
  <si>
    <t>M2/M3</t>
  </si>
  <si>
    <t>Tích hợp YOLO + ByteTrack, tính toạ độ 3D từ depth</t>
  </si>
  <si>
    <t>Kết hợp YOLO detection với ByteTrack tracker. Sử dụng depth camera để tính toạ độ 3D trong Local Frame.</t>
  </si>
  <si>
    <t>Python module Vision pipeline</t>
  </si>
  <si>
    <t>Tracking liên tục ≥ 30 FPS, 3D error &lt; 0.5m trong phòng</t>
  </si>
  <si>
    <t>GĐ1-T07</t>
  </si>
  <si>
    <t>M1/M9</t>
  </si>
  <si>
    <t>Thiết lập Offboard control: takeoff, land, waypoint</t>
  </si>
  <si>
    <t>Xây dựng ROS 2 node giao tiếp PX4 qua uXRCE-DDS. Thực hiện takeoff, land, waypoint tracking trong Gazebo.</t>
  </si>
  <si>
    <t>ROS 2 package offboard_control</t>
  </si>
  <si>
    <t>UAV takeoff → waypoint → land thành công 100% trong SITL</t>
  </si>
  <si>
    <t>GĐ1-T08</t>
  </si>
  <si>
    <t>Mitigation: Modified APF với lực xoay + random perturbation.</t>
  </si>
  <si>
    <t>Fallback: Switch sang simple waypoint bypass</t>
  </si>
  <si>
    <t>Xác định hệ quy chiếu &amp; interface giữa các module</t>
  </si>
  <si>
    <t>Thống nhất frame conventions (NED/ENU), message types, topic names giữa Vision → Control → PX4.</t>
  </si>
  <si>
    <t>Cả nhóm</t>
  </si>
  <si>
    <t>GĐ2-T06</t>
  </si>
  <si>
    <t>R07</t>
  </si>
  <si>
    <t>Thời gian 9 tuần không đủ để hoàn thành toàn bộ scope</t>
  </si>
  <si>
    <t>Mitigation: Prioritize MVP (follow without NN prediction). Weekly review cắt scope sớm.</t>
  </si>
  <si>
    <t>Fallback: Demo SITL nếu không kịp bay thật</t>
  </si>
  <si>
    <t>Document interface specification</t>
  </si>
  <si>
    <t>Tài liệu rõ ràng, cả nhóm thống nhất</t>
  </si>
  <si>
    <t>GĐ2-T01</t>
  </si>
  <si>
    <t>GĐ4-T07</t>
  </si>
  <si>
    <t>GĐ2: Tracking &amp; Follow</t>
  </si>
  <si>
    <t>R08</t>
  </si>
  <si>
    <t>Phần cứng hư hỏng khi bay test (crash, ESC cháy...)</t>
  </si>
  <si>
    <t>Mitigation: Dry run kỹ. Bay thấp (&lt; 3m) ban đầu. Kill switch luôn sẵn sàng.</t>
  </si>
  <si>
    <t>M4/M5</t>
  </si>
  <si>
    <t>Thiết kế EKF ước lượng vận tốc mục tiêu</t>
  </si>
  <si>
    <t>Fallback: Có spare parts (ESC, propeller). Budget repair time vào W9.</t>
  </si>
  <si>
    <t>Extended Kalman Filter: state = [x, y, z, vx, vy, vz], measurement từ Vision pipeline. Tune Q, R matrices.</t>
  </si>
  <si>
    <t>GĐ3-T06, GĐ4-T02</t>
  </si>
  <si>
    <t>📊 Risk Matrix Reference</t>
  </si>
  <si>
    <t>EKF module (Python/C++)</t>
  </si>
  <si>
    <t>Velocity estimate error &lt; 0.3 m/s trên dữ liệu mô phỏng</t>
  </si>
  <si>
    <t>GĐ2-T02</t>
  </si>
  <si>
    <t>M5</t>
  </si>
  <si>
    <t>Lập trình Dead Reckoning khi mất dấu mục tiêu</t>
  </si>
  <si>
    <t>Khi camera mất dấu (1-2s), sử dụng EKF prediction để duy trì ước lượng vị trí mục tiêu.</t>
  </si>
  <si>
    <t>Low Impact (1)</t>
  </si>
  <si>
    <t>Medium (2)</t>
  </si>
  <si>
    <t>High (3)</t>
  </si>
  <si>
    <t>Critical (4)</t>
  </si>
  <si>
    <t>Dead Reckoning module</t>
  </si>
  <si>
    <t>Dự đoán đúng hướng đi khi ngắt frame 1-2s</t>
  </si>
  <si>
    <t>GĐ2-T03</t>
  </si>
  <si>
    <t>M6</t>
  </si>
  <si>
    <t>Xây dựng quy luật bám mục tiêu ảo</t>
  </si>
  <si>
    <t>Thiết kế guidance law: UAV giữ khoảng cách d_follow phía sau mục tiêu, tự điều chỉnh heading.</t>
  </si>
  <si>
    <t>Follow guidance module</t>
  </si>
  <si>
    <t>UAV giữ khoảng cách ổn định ±2m trong SITL</t>
  </si>
  <si>
    <t>GĐ2-T04</t>
  </si>
  <si>
    <t>Low (1)</t>
  </si>
  <si>
    <t>Tích hợp Vision node vào ROS 2, publish topic</t>
  </si>
  <si>
    <t>Đóng gói Vision pipeline thành ROS 2 node, publish TargetState message lên topic.</t>
  </si>
  <si>
    <t>GĐ1-T06, GĐ1-T07</t>
  </si>
  <si>
    <t>ROS 2 vision node package</t>
  </si>
  <si>
    <t>Topic publish ổn định ≥ 30 Hz</t>
  </si>
  <si>
    <t>GĐ2-T05</t>
  </si>
  <si>
    <t>M4</t>
  </si>
  <si>
    <t>Calibration camera, test depth accuracy</t>
  </si>
  <si>
    <t>Calibrate intrinsic/extrinsic parameters. Đánh giá độ chính xác depth tại các khoảng cách 1-10m.</t>
  </si>
  <si>
    <t>Calibration report + parameters file</t>
  </si>
  <si>
    <t>Depth error &lt; 5% tại khoảng cách 1-5m</t>
  </si>
  <si>
    <t>Điều khiển &amp; Dẫn đường</t>
  </si>
  <si>
    <t>M8/M9</t>
  </si>
  <si>
    <t>Port APF từ Simulink sang C++/Python ROS 2 node</t>
  </si>
  <si>
    <t>Chuyển đổi thuật toán Modified APF sang ROS 2. Kết nối với obstacle data (depth/pointcloud).</t>
  </si>
  <si>
    <t>GĐ1-T05, GĐ2-T03</t>
  </si>
  <si>
    <t>ROS 2 APF planner node</t>
  </si>
  <si>
    <t>APF hoạt động đúng trong SITL, kết quả tương đương Simulink</t>
  </si>
  <si>
    <t>GĐ2-T07</t>
  </si>
  <si>
    <t>M10</t>
  </si>
  <si>
    <t>Xây dựng State Machine (SEARCH/FOLLOW/AVOID/HOLD)</t>
  </si>
  <si>
    <t>Xác định State Machine quản lý chế độ bay. Transition logic rõ ràng, có timeout và fallback.</t>
  </si>
  <si>
    <t>GĐ2-T04, GĐ2-T06</t>
  </si>
  <si>
    <t>State Machine node + diagram</t>
  </si>
  <si>
    <t>Chuyển trạng thái đúng 100% trong SITL test cases</t>
  </si>
  <si>
    <t>GĐ2-T08</t>
  </si>
  <si>
    <t>M1-M10</t>
  </si>
  <si>
    <t>★ MILESTONE 1: Test tích hợp toàn hệ thống trên SITL</t>
  </si>
  <si>
    <t>Chạy full pipeline: Vision → EKF → Follow → APF → State Machine → PX4 trên Gazebo. Quay video demo.</t>
  </si>
  <si>
    <t>GĐ2-T06, GĐ2-T07</t>
  </si>
  <si>
    <t>Video demo SITL + test report</t>
  </si>
  <si>
    <t>UAV bám mục tiêu ≥ 60s, né ≥ 3 vật cản, tracking error &lt; 1.0m</t>
  </si>
  <si>
    <t>GĐ3-T01</t>
  </si>
  <si>
    <t>GĐ3: Hardware &amp; Bench Test</t>
  </si>
  <si>
    <t>Lắp ráp Companion Computer + Camera lên kit X500</t>
  </si>
  <si>
    <t>Mount máy tính nhúng, camera, module nguồn BEC. Đảm bảo cân bằng trọng tâm.</t>
  </si>
  <si>
    <t>Lập trình nhúng &amp; Triển khai</t>
  </si>
  <si>
    <t>Ảnh lắp ráp + checklist phần cứng</t>
  </si>
  <si>
    <t>Tất cả module lắp chắc chắn, trọng tâm OK</t>
  </si>
  <si>
    <t>M9/M10</t>
  </si>
  <si>
    <t>Thiết lập UART/USB giữa máy tính nhúng và PX4</t>
  </si>
  <si>
    <t>Cấu hình serial baudrate 921600, test MAVLink/uXRCE-DDS. Setup Offboard switch qua RC + Kill switch.</t>
  </si>
  <si>
    <t>Communication test log</t>
  </si>
  <si>
    <t>Telemetry ổn định ≥ 30 phút, Offboard switch 100%</t>
  </si>
  <si>
    <t>Tối ưu YOLO → TensorRT/ONNX cho máy tính nhúng</t>
  </si>
  <si>
    <t>Convert model sang TensorRT FP16. Benchmark FPS trên hardware thực.</t>
  </si>
  <si>
    <t>Optimized model + benchmark report</t>
  </si>
  <si>
    <t>FPS ≥ 15 trên máy tính nhúng (target ≥ 25)</t>
  </si>
  <si>
    <t>🎯 MILESTONE COUNTDOWN</t>
  </si>
  <si>
    <t>GĐ3-T04</t>
  </si>
  <si>
    <t>Fine-tune APF + EKF parameters trên SITL</t>
  </si>
  <si>
    <t>Chạy thêm nhiều kịch bản SITL để tinh chỉnh tham số trước khi sang phần cứng.</t>
  </si>
  <si>
    <t>🟢 Normal</t>
  </si>
  <si>
    <t>Milestone</t>
  </si>
  <si>
    <t>Target Date</t>
  </si>
  <si>
    <t>Days Left</t>
  </si>
  <si>
    <t>KPI</t>
  </si>
  <si>
    <t>Updated parameter set + test results</t>
  </si>
  <si>
    <t>Cải thiện tracking error ≥ 10% so với tuần 4</t>
  </si>
  <si>
    <t>MS1: Simulink APF hoàn chỉnh</t>
  </si>
  <si>
    <t>GĐ3-T05</t>
  </si>
  <si>
    <t>M2/M4</t>
  </si>
  <si>
    <t>Test camera + Vision pipeline trên phần cứng</t>
  </si>
  <si>
    <t>Chạy full Vision pipeline (YOLO + ByteTrack + depth) trên máy tính nhúng. Benchmark end-to-end latency.</t>
  </si>
  <si>
    <t>Hardware Vision benchmark</t>
  </si>
  <si>
    <t>End-to-end latency &lt; 100ms, FPS ≥ 15</t>
  </si>
  <si>
    <t>GĐ3-T06</t>
  </si>
  <si>
    <t>M9</t>
  </si>
  <si>
    <t>Dry Run: test motor response (không cánh quạt)</t>
  </si>
  <si>
    <t>Chạy toàn bộ hệ thống, kiểm tra motor phản ứng đúng khi mục tiêu di chuyển. Không gắn propeller.</t>
  </si>
  <si>
    <t>⬜ Pending</t>
  </si>
  <si>
    <t>GĐ3-T02, GĐ3-T05</t>
  </si>
  <si>
    <t>MS2: Vision Pipeline 30 FPS</t>
  </si>
  <si>
    <t>Dry run video + motor log</t>
  </si>
  <si>
    <t>Motor response đúng hướng 100%, latency &lt; 200ms</t>
  </si>
  <si>
    <t>GĐ3-T07</t>
  </si>
  <si>
    <t>Calibrate thuật toán APF/EKF trên phần cứng thực</t>
  </si>
  <si>
    <t>Tune lại tham số cho điều kiện thực tế (noise, latency khác simulation).</t>
  </si>
  <si>
    <t>MS3: SITL Follow-Me + Obstacle</t>
  </si>
  <si>
    <t>MS4: Hardware Ready</t>
  </si>
  <si>
    <t>Updated real-world parameter set</t>
  </si>
  <si>
    <t>Parameters converge, ready for flight test</t>
  </si>
  <si>
    <t>MS5: Real Flight Follow</t>
  </si>
  <si>
    <t>Bay bãi trống: bám mục tiêu động (chưa có vật cản)</t>
  </si>
  <si>
    <t>Bay thực tế trong bãi trống. Mục tiêu đi bộ, UAV tự bám theo.</t>
  </si>
  <si>
    <t>MS6: Full System (Obstacle)</t>
  </si>
  <si>
    <t>GĐ3-T06, GĐ3-T07</t>
  </si>
  <si>
    <t>MS7: Final Report</t>
  </si>
  <si>
    <t>Flight video + PX4 ulog</t>
  </si>
  <si>
    <t>★ MS2: Bám mục tiêu ≥ 30s, tracking error &lt; 1.5m, Yaw auto-align</t>
  </si>
  <si>
    <t>GĐ4-T01</t>
  </si>
  <si>
    <t>Báo cáo + video hoàn chỉnh</t>
  </si>
  <si>
    <t>GĐ4: Thực nghiệm &amp; Báo cáo</t>
  </si>
  <si>
    <t>📊 OVERALL PROGRESS</t>
  </si>
  <si>
    <t>M7/M8</t>
  </si>
  <si>
    <t>Setup bãi thử nghiệm có vật cản mềm/an toàn</t>
  </si>
  <si>
    <t>Đặt cọc tiêu, thùng xốp làm vật cản. Đo vị trí ground truth.</t>
  </si>
  <si>
    <t>Total Tasks</t>
  </si>
  <si>
    <t>Completed</t>
  </si>
  <si>
    <t>In Progress</t>
  </si>
  <si>
    <t>Blocked</t>
  </si>
  <si>
    <t>Sơ đồ bãi thử + ảnh setup</t>
  </si>
  <si>
    <t>Overall %</t>
  </si>
  <si>
    <t>Ít nhất 3 vật cản, khoảng cách rõ ràng</t>
  </si>
  <si>
    <t>GĐ4-T02</t>
  </si>
  <si>
    <t>Bay thực với vật cản: APF + EKF full system</t>
  </si>
  <si>
    <t>Kích hoạt toàn bộ hệ thống ngoài thực tế. Nhiều kịch bản: thẳng, zigzag, khuất sau vật cản.</t>
  </si>
  <si>
    <t>GĐ3-T08, GĐ4-T01</t>
  </si>
  <si>
    <t>Flight videos + ulogs các kịch bản</t>
  </si>
  <si>
    <t>★ MS3: Né vật cản thành công, min clearance &gt; 0.8m</t>
  </si>
  <si>
    <t>GĐ4-T03</t>
  </si>
  <si>
    <t>Test kịch bản target lost &amp; re-acquisition</t>
  </si>
  <si>
    <t>Mục tiêu đi khuất sau vật cản, đánh giá khả năng dự đoán và bắt lại dấu.</t>
  </si>
  <si>
    <t>Test report + video</t>
  </si>
  <si>
    <t>Target re-acquisition &lt; 3s sau khi mất dấu</t>
  </si>
  <si>
    <t>GĐ4-T04</t>
  </si>
  <si>
    <t>Trích xuất &amp; phân tích log (PX4 ulog + ROS 2 bag)</t>
  </si>
  <si>
    <t>Trích xuất dữ liệu từ log, tính tracking error, min obstacle clearance, system latency.</t>
  </si>
  <si>
    <t>GĐ4-T02, GĐ4-T03</t>
  </si>
  <si>
    <t>Processed data files (.csv/.mat)</t>
  </si>
  <si>
    <t>Data đầy đủ cho tất cả kịch bản test</t>
  </si>
  <si>
    <t>GĐ4-T05</t>
  </si>
  <si>
    <t>Vẽ đồ thị định lượng: tracking error, clearance, latency</t>
  </si>
  <si>
    <t>Biểu đồ so sánh simulation vs thực tế. Bảng tổng hợp KPI.</t>
  </si>
  <si>
    <t>Đồ thị + bảng KPI (.png/.pdf)</t>
  </si>
  <si>
    <t>Đồ thị rõ ràng, có legend, axis labels</t>
  </si>
  <si>
    <t>GĐ4-T06</t>
  </si>
  <si>
    <t>Đóng gói mã nguồn + viết tài liệu vận hành</t>
  </si>
  <si>
    <t>Clean code, README, hướng dẫn build/deploy, launch files.</t>
  </si>
  <si>
    <t>GitHub repo / zip package</t>
  </si>
  <si>
    <t>README đầy đủ, build thành công theo hướng dẫn</t>
  </si>
  <si>
    <t>Hoàn thiện báo cáo nghiệm thu</t>
  </si>
  <si>
    <t>Viết báo cáo đầy đủ: lý thuyết, thiết kế, kết quả, kết luận. Kèm video demo.</t>
  </si>
  <si>
    <t>GĐ4-T04, GĐ4-T05, GĐ4-T06</t>
  </si>
  <si>
    <t>📈 PHASE PROGRESS</t>
  </si>
  <si>
    <t>Báo cáo .docx/.pdf + video</t>
  </si>
  <si>
    <t>Báo cáo hoàn chỉnh, video thực nghiệm</t>
  </si>
  <si>
    <t>Phase</t>
  </si>
  <si>
    <t>GĐ4-T08</t>
  </si>
  <si>
    <t>Done</t>
  </si>
  <si>
    <t>Progress %</t>
  </si>
  <si>
    <t>Weeks</t>
  </si>
  <si>
    <t>Buffer: Bay bổ sung / fix bugs / cải thiện</t>
  </si>
  <si>
    <t>Thời gian dự phòng cho các vấn đề phát sinh. Bay thêm nếu cần data.</t>
  </si>
  <si>
    <t>Updated results nếu có</t>
  </si>
  <si>
    <t>W1-W2</t>
  </si>
  <si>
    <t>W3-W4</t>
  </si>
  <si>
    <t>W5-W6</t>
  </si>
  <si>
    <t>W7-W9</t>
  </si>
  <si>
    <t>⚠️ ALERTS &amp; NOTES</t>
  </si>
  <si>
    <t>⏰ Overdue tasks:</t>
  </si>
  <si>
    <t>🔴 Blocked tasks:</t>
  </si>
  <si>
    <t>◆</t>
  </si>
  <si>
    <t>📋 Notes: Weekly review mỗi thứ 6. Update status trước khi họp.</t>
  </si>
  <si>
    <t>📝 WEEKLY REPORT TEMPLATE</t>
  </si>
  <si>
    <t>Fill in before each Friday review meeting</t>
  </si>
  <si>
    <t>📅 WEEK 1  (24/08 — 30/08/2026)</t>
  </si>
  <si>
    <t>Review Date:</t>
  </si>
  <si>
    <t>Attendees:</t>
  </si>
  <si>
    <t>Duy, Tuân, Việt Anh</t>
  </si>
  <si>
    <t>✅ Completed This Week</t>
  </si>
  <si>
    <t>🚧 Blockers &amp; Issues</t>
  </si>
  <si>
    <t>1.</t>
  </si>
  <si>
    <t>2.</t>
  </si>
  <si>
    <t>3.</t>
  </si>
  <si>
    <t>4.</t>
  </si>
  <si>
    <t>5.</t>
  </si>
  <si>
    <t>📋 Planned for Next Week</t>
  </si>
  <si>
    <t>💡 Decisions Made</t>
  </si>
  <si>
    <t>🎯 Action Items</t>
  </si>
  <si>
    <t>Action</t>
  </si>
  <si>
    <t>Deadline</t>
  </si>
  <si>
    <t>📅 WEEK 2  (31/08 — 06/09/2026)</t>
  </si>
  <si>
    <t>Legend:</t>
  </si>
  <si>
    <t>Thiết bị</t>
  </si>
  <si>
    <t>Số tiền</t>
  </si>
  <si>
    <t>Link sản phẩm</t>
  </si>
  <si>
    <t>Chú thích</t>
  </si>
  <si>
    <t>██</t>
  </si>
  <si>
    <t>PX4 Development Kit - X500 v2</t>
  </si>
  <si>
    <t>https://holybro.com/collections/x500-kits/products/px4-development-kit-x500-v2
https://vietdrone.vn/px4-development-kit-x500-v2-sfr019</t>
  </si>
  <si>
    <t>GĐ3: Hardware &amp; Bench</t>
  </si>
  <si>
    <t>Shop bên Việt Nam có đăng bán giá 14tr với phiên bản 6C và 17tr với phiên bản 6X, đang liên hệ để hỏi thông tin chi tiết</t>
  </si>
  <si>
    <t>Pin Ovonic 4S - 6200mah</t>
  </si>
  <si>
    <t>📅 WEEK 3  (07/09 — 13/09/2026)</t>
  </si>
  <si>
    <r>
      <rPr>
        <rFont val="Arial"/>
        <color rgb="FF1155CC"/>
        <u/>
      </rPr>
      <t xml:space="preserve">https://quanphongrc.vn/ct/may-bay-dieu-khien/5939/ovonic-6200mah-4s-90c-14-8v-lipo-battery-xt60-plug.html
</t>
    </r>
    <r>
      <rPr>
        <rFont val="Arial"/>
        <color rgb="FF1F1F1F"/>
      </rPr>
      <t xml:space="preserve">https://www.ovonicshop.com/collections/lipo-battery-packs/4s-14-8v-lipo+5200mah-6500mah
</t>
    </r>
  </si>
  <si>
    <t>Sạc iMax B6 mini</t>
  </si>
  <si>
    <t xml:space="preserve">Sạc iMax B6 mini SkyRC, đo nội trở và dung lượng pin, bình ắc quy, sạc cân bằng cell pin | Shopee Việt Nam
https://banlinhkien.com/sac-pin-lipo-imax-b6ac-p6648980.html
</t>
  </si>
  <si>
    <t>máy tính nhúng Raspberry 5 4GB + thẻ nhớ 32GB</t>
  </si>
  <si>
    <t>https://raspberrypi.vn/san-pham/mach-may-tinh-raspberry-pi-5</t>
  </si>
  <si>
    <t>📅 WEEK 4  (14/09 — 20/09/2026)</t>
  </si>
  <si>
    <t>Mua pass giá 3tr5, đã liên hệ và còn hàng</t>
  </si>
  <si>
    <t>RGB-Depth camera Realsense Intel D435</t>
  </si>
  <si>
    <r>
      <rPr>
        <rFont val="Arial"/>
        <color rgb="FF1155CC"/>
        <u/>
      </rPr>
      <t>Camera Intel RealSense Depth D435 – Depth 3D 1280x720, RGB 2MP, USB-C chính hãng tại HACOM | Giá rẻ, trả góp 0%</t>
    </r>
  </si>
  <si>
    <t>Mua pass giá 2tr, hẹn trước 10 ngày để chuẩn bị hàng</t>
  </si>
  <si>
    <t xml:space="preserve">Tổng </t>
  </si>
  <si>
    <t>New</t>
  </si>
  <si>
    <t>📅 WEEK 5  (21/09 — 27/09/2026)</t>
  </si>
  <si>
    <t>Có mua pass</t>
  </si>
  <si>
    <t>S500 V2 Development Kit</t>
  </si>
  <si>
    <r>
      <rPr>
        <rFont val="Arial"/>
        <color rgb="FF1155CC"/>
        <u/>
      </rPr>
      <t xml:space="preserve">https://quanphongrc.vn/ct/may-bay-dieu-khien/5939/ovonic-6200mah-4s-90c-14-8v-lipo-battery-xt60-plug.html
</t>
    </r>
    <r>
      <rPr>
        <rFont val="Arial"/>
        <color rgb="FF1F1F1F"/>
      </rPr>
      <t xml:space="preserve">https://www.ovonicshop.com/collections/lipo-battery-packs/4s-14-8v-lipo+5200mah-6500mah
</t>
    </r>
  </si>
  <si>
    <r>
      <rPr>
        <rFont val="Arial"/>
        <color rgb="FF1155CC"/>
        <u/>
      </rPr>
      <t>Camera Intel RealSense Depth D435 – Depth 3D 1280x720, RGB 2MP, USB-C chính hãng tại HACOM | Giá rẻ, trả góp 0%</t>
    </r>
  </si>
  <si>
    <t>📅 WEEK 6  (28/09 — 04/10/2026)</t>
  </si>
  <si>
    <t>📅 WEEK 7  (05/10 — 11/10/2026)</t>
  </si>
  <si>
    <t>📅 WEEK 8  (12/10 — 18/10/2026)</t>
  </si>
  <si>
    <t>📅 WEEK 9  (19/10 — 25/10/2026)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</si>
</sst>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#,##0;(#,##0)"/>
  </numFmts>
  <fonts count="42">
    <font>
      <sz val="11.0"/>
      <color theme="1"/>
      <name val="Arial"/>
      <scheme val="minor"/>
    </font>
    <font>
      <b/>
      <sz val="18.0"/>
      <color rgb="FFFFFFFF"/>
      <name val="Quattrocento Sans"/>
    </font>
    <font/>
    <font>
      <b/>
      <sz val="18.0"/>
      <color rgb="FFFFFFFF"/>
      <name val="Arial"/>
      <scheme val="minor"/>
    </font>
    <font>
      <sz val="12.0"/>
      <color rgb="FFBBDEFB"/>
      <name val="Quattrocento Sans"/>
    </font>
    <font>
      <b/>
      <sz val="10.0"/>
      <color rgb="FFFFFFFF"/>
      <name val="Quattrocento Sans"/>
    </font>
    <font>
      <sz val="12.0"/>
      <color rgb="FFBBDEFB"/>
      <name val="Arial"/>
      <scheme val="minor"/>
    </font>
    <font>
      <b/>
      <sz val="10.0"/>
      <color rgb="FF212121"/>
      <name val="Quattrocento Sans"/>
    </font>
    <font>
      <color theme="1"/>
      <name val="Arial"/>
      <scheme val="minor"/>
    </font>
    <font>
      <b/>
      <sz val="10.0"/>
      <color rgb="FFFFFFFF"/>
      <name val="Arial"/>
      <scheme val="minor"/>
    </font>
    <font>
      <sz val="10.0"/>
      <color rgb="FF212121"/>
      <name val="Quattrocento Sans"/>
    </font>
    <font>
      <sz val="10.0"/>
      <color rgb="FF212121"/>
      <name val="Arial"/>
      <scheme val="minor"/>
    </font>
    <font>
      <b/>
      <sz val="10.0"/>
      <color rgb="FF212121"/>
      <name val="Arial"/>
      <scheme val="minor"/>
    </font>
    <font>
      <u/>
      <color theme="1"/>
      <name val="Arial"/>
      <scheme val="minor"/>
    </font>
    <font>
      <b/>
      <sz val="10.0"/>
      <color rgb="FFC62828"/>
      <name val="Arial"/>
      <scheme val="minor"/>
    </font>
    <font>
      <u/>
      <color rgb="FF0000FF"/>
    </font>
    <font>
      <b/>
      <sz val="12.0"/>
      <color rgb="FF0D47A1"/>
      <name val="Arial"/>
      <scheme val="minor"/>
    </font>
    <font>
      <sz val="9.0"/>
      <color rgb="FF37474F"/>
      <name val="Arial"/>
      <scheme val="minor"/>
    </font>
    <font>
      <b/>
      <sz val="20.0"/>
      <color rgb="FF0D47A1"/>
      <name val="Arial"/>
      <scheme val="minor"/>
    </font>
    <font>
      <sz val="11.0"/>
      <color theme="1"/>
      <name val="Arial"/>
    </font>
    <font>
      <sz val="7.0"/>
      <color rgb="FF37474F"/>
      <name val="Quattrocento Sans"/>
    </font>
    <font>
      <b/>
      <sz val="11.0"/>
      <color rgb="FFFFFFFF"/>
      <name val="Arial"/>
      <scheme val="minor"/>
    </font>
    <font>
      <sz val="8.0"/>
      <color rgb="FF212121"/>
      <name val="Arial"/>
      <scheme val="minor"/>
    </font>
    <font>
      <b/>
      <sz val="10.0"/>
      <color rgb="FFFF6F00"/>
      <name val="Arial"/>
      <scheme val="minor"/>
    </font>
    <font>
      <b/>
      <sz val="8.0"/>
      <color theme="1"/>
      <name val="Arial"/>
      <scheme val="minor"/>
    </font>
    <font>
      <b/>
      <sz val="10.0"/>
      <color rgb="FF2E7D32"/>
      <name val="Arial"/>
      <scheme val="minor"/>
    </font>
    <font>
      <sz val="10.0"/>
      <color rgb="FF2E7D32"/>
      <name val="Arial"/>
      <scheme val="minor"/>
    </font>
    <font>
      <b/>
      <sz val="8.0"/>
      <color rgb="FFFFFFFF"/>
      <name val="Quattrocento Sans"/>
    </font>
    <font>
      <b/>
      <sz val="11.0"/>
      <color rgb="FFFFFFFF"/>
      <name val="Quattrocento Sans"/>
    </font>
    <font>
      <b/>
      <sz val="10.0"/>
      <color rgb="FF1B2A4A"/>
      <name val="Quattrocento Sans"/>
    </font>
    <font>
      <sz val="9.0"/>
      <color rgb="FF37474F"/>
      <name val="Quattrocento Sans"/>
    </font>
    <font>
      <b/>
      <color theme="1"/>
      <name val="Arial"/>
    </font>
    <font>
      <sz val="11.0"/>
      <color rgb="FF42A5F5"/>
      <name val="Arial"/>
    </font>
    <font>
      <color theme="1"/>
      <name val="Arial"/>
    </font>
    <font>
      <sz val="11.0"/>
      <color rgb="FF66BB6A"/>
      <name val="Arial"/>
    </font>
    <font>
      <sz val="11.0"/>
      <color rgb="FFFFA726"/>
      <name val="Arial"/>
    </font>
    <font>
      <sz val="11.0"/>
      <color rgb="FFAB47BC"/>
      <name val="Arial"/>
    </font>
    <font>
      <sz val="11.0"/>
      <color rgb="FFFFFFFF"/>
      <name val="Arial"/>
    </font>
    <font>
      <u/>
      <color rgb="FF1155CC"/>
      <name val="Arial"/>
    </font>
    <font>
      <u/>
      <color rgb="FF0000FF"/>
      <name val="Arial"/>
    </font>
    <font>
      <u/>
      <color rgb="FF1155CC"/>
      <name val="Arial"/>
    </font>
    <font>
      <b/>
      <color rgb="FF111827"/>
      <name val="&quot;Inter Variable&quot;"/>
    </font>
  </fonts>
  <fills count="27">
    <fill>
      <patternFill patternType="none"/>
    </fill>
    <fill>
      <patternFill patternType="lightGray"/>
    </fill>
    <fill>
      <patternFill patternType="solid">
        <fgColor rgb="FF1B2A4A"/>
        <bgColor rgb="FF1B2A4A"/>
      </patternFill>
    </fill>
    <fill>
      <patternFill patternType="solid">
        <fgColor rgb="FFC62828"/>
        <bgColor rgb="FFC62828"/>
      </patternFill>
    </fill>
    <fill>
      <patternFill patternType="solid">
        <fgColor rgb="FFF5F7FA"/>
        <bgColor rgb="FFF5F7FA"/>
      </patternFill>
    </fill>
    <fill>
      <patternFill patternType="solid">
        <fgColor rgb="FFFFFF00"/>
        <bgColor rgb="FFFFFF00"/>
      </patternFill>
    </fill>
    <fill>
      <patternFill patternType="solid">
        <fgColor rgb="FF0D47A1"/>
        <bgColor rgb="FF0D47A1"/>
      </patternFill>
    </fill>
    <fill>
      <patternFill patternType="solid">
        <fgColor rgb="FFBBDEFB"/>
        <bgColor rgb="FFBBDEFB"/>
      </patternFill>
    </fill>
    <fill>
      <patternFill patternType="solid">
        <fgColor rgb="FFFFCDD2"/>
        <bgColor rgb="FFFFCDD2"/>
      </patternFill>
    </fill>
    <fill>
      <patternFill patternType="solid">
        <fgColor rgb="FF1565C0"/>
        <bgColor rgb="FF1565C0"/>
      </patternFill>
    </fill>
    <fill>
      <patternFill patternType="solid">
        <fgColor rgb="FF00897B"/>
        <bgColor rgb="FF00897B"/>
      </patternFill>
    </fill>
    <fill>
      <patternFill patternType="solid">
        <fgColor rgb="FFFFFFFF"/>
        <bgColor rgb="FFFFFFFF"/>
      </patternFill>
    </fill>
    <fill>
      <patternFill patternType="solid">
        <fgColor rgb="FF6A1B9A"/>
        <bgColor rgb="FF6A1B9A"/>
      </patternFill>
    </fill>
    <fill>
      <patternFill patternType="solid">
        <fgColor rgb="FFFFF9C4"/>
        <bgColor rgb="FFFFF9C4"/>
      </patternFill>
    </fill>
    <fill>
      <patternFill patternType="solid">
        <fgColor rgb="FFE0E0E0"/>
        <bgColor rgb="FFE0E0E0"/>
      </patternFill>
    </fill>
    <fill>
      <patternFill patternType="solid">
        <fgColor rgb="FFFFE0B2"/>
        <bgColor rgb="FFFFE0B2"/>
      </patternFill>
    </fill>
    <fill>
      <patternFill patternType="solid">
        <fgColor rgb="FFC8E6C9"/>
        <bgColor rgb="FFC8E6C9"/>
      </patternFill>
    </fill>
    <fill>
      <patternFill patternType="solid">
        <fgColor rgb="FF42A5F5"/>
        <bgColor rgb="FF42A5F5"/>
      </patternFill>
    </fill>
    <fill>
      <patternFill patternType="solid">
        <fgColor rgb="FFF5F5F5"/>
        <bgColor rgb="FFF5F5F5"/>
      </patternFill>
    </fill>
    <fill>
      <patternFill patternType="solid">
        <fgColor rgb="FFE1BEE7"/>
        <bgColor rgb="FFE1BEE7"/>
      </patternFill>
    </fill>
    <fill>
      <patternFill patternType="solid">
        <fgColor rgb="FF66BB6A"/>
        <bgColor rgb="FF66BB6A"/>
      </patternFill>
    </fill>
    <fill>
      <patternFill patternType="solid">
        <fgColor rgb="FFFF6F00"/>
        <bgColor rgb="FFFF6F00"/>
      </patternFill>
    </fill>
    <fill>
      <patternFill patternType="solid">
        <fgColor rgb="FFFFA726"/>
        <bgColor rgb="FFFFA726"/>
      </patternFill>
    </fill>
    <fill>
      <patternFill patternType="solid">
        <fgColor rgb="FFAB47BC"/>
        <bgColor rgb="FFAB47BC"/>
      </patternFill>
    </fill>
    <fill>
      <patternFill patternType="solid">
        <fgColor rgb="FFFF8F00"/>
        <bgColor rgb="FFFF8F00"/>
      </patternFill>
    </fill>
    <fill>
      <patternFill patternType="solid">
        <fgColor rgb="FF37474F"/>
        <bgColor rgb="FF37474F"/>
      </patternFill>
    </fill>
    <fill>
      <patternFill patternType="solid">
        <fgColor rgb="FFC9DAF8"/>
        <bgColor rgb="FFC9DAF8"/>
      </patternFill>
    </fill>
  </fills>
  <borders count="15">
    <border/>
    <border>
      <left/>
      <top/>
      <bottom/>
    </border>
    <border>
      <top/>
      <bottom/>
    </border>
    <border>
      <left/>
      <right/>
      <top/>
      <bottom/>
    </border>
    <border>
      <right/>
      <top/>
      <bottom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B0BEC5"/>
      </left>
      <top style="thin">
        <color rgb="FFB0BEC5"/>
      </top>
      <bottom style="thin">
        <color rgb="FFB0BEC5"/>
      </bottom>
    </border>
    <border>
      <top style="thin">
        <color rgb="FFB0BEC5"/>
      </top>
      <bottom style="thin">
        <color rgb="FFB0BEC5"/>
      </bottom>
    </border>
    <border>
      <right style="thin">
        <color rgb="FFB0BEC5"/>
      </right>
      <top style="thin">
        <color rgb="FFB0BEC5"/>
      </top>
      <bottom style="thin">
        <color rgb="FFB0BEC5"/>
      </bottom>
    </border>
    <border>
      <left style="hair">
        <color rgb="FFE0E0E0"/>
      </left>
      <right style="hair">
        <color rgb="FFE0E0E0"/>
      </right>
      <top style="hair">
        <color rgb="FFE0E0E0"/>
      </top>
      <bottom style="hair">
        <color rgb="FFE0E0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2" fontId="0" numFmtId="0" xfId="0" applyBorder="1" applyFill="1" applyFont="1"/>
    <xf borderId="4" fillId="0" fontId="2" numFmtId="0" xfId="0" applyBorder="1" applyFont="1"/>
    <xf borderId="1" fillId="2" fontId="3" numFmtId="0" xfId="0" applyAlignment="1" applyBorder="1" applyFill="1" applyFont="1">
      <alignment horizontal="center" shrinkToFit="0" vertical="center" wrapText="1"/>
    </xf>
    <xf borderId="1" fillId="2" fontId="0" numFmtId="0" xfId="0" applyBorder="1" applyFill="1" applyFont="1"/>
    <xf borderId="1" fillId="2" fontId="4" numFmtId="0" xfId="0" applyAlignment="1" applyBorder="1" applyFill="1" applyFont="1">
      <alignment horizontal="center" shrinkToFit="0" vertical="center" wrapText="1"/>
    </xf>
    <xf borderId="5" fillId="3" fontId="5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readingOrder="0" shrinkToFit="0" vertical="center" wrapText="1"/>
    </xf>
    <xf borderId="1" fillId="2" fontId="6" numFmtId="0" xfId="0" applyAlignment="1" applyBorder="1" applyFill="1" applyFont="1">
      <alignment horizontal="center" shrinkToFit="0" vertical="center" wrapText="1"/>
    </xf>
    <xf borderId="5" fillId="4" fontId="7" numFmtId="0" xfId="0" applyAlignment="1" applyBorder="1" applyFill="1" applyFont="1">
      <alignment horizontal="center" shrinkToFit="0" vertical="center" wrapText="1"/>
    </xf>
    <xf borderId="0" fillId="5" fontId="8" numFmtId="0" xfId="0" applyAlignment="1" applyFill="1" applyFont="1">
      <alignment horizontal="center" readingOrder="0"/>
    </xf>
    <xf borderId="5" fillId="6" fontId="9" numFmtId="0" xfId="0" applyAlignment="1" applyBorder="1" applyFill="1" applyFont="1">
      <alignment horizontal="center" shrinkToFit="0" vertical="center" wrapText="1"/>
    </xf>
    <xf borderId="0" fillId="5" fontId="8" numFmtId="0" xfId="0" applyFill="1" applyFont="1"/>
    <xf borderId="5" fillId="4" fontId="10" numFmtId="0" xfId="0" applyAlignment="1" applyBorder="1" applyFill="1" applyFont="1">
      <alignment horizontal="left" shrinkToFit="0" vertical="center" wrapText="1"/>
    </xf>
    <xf borderId="0" fillId="0" fontId="8" numFmtId="0" xfId="0" applyAlignment="1" applyFont="1">
      <alignment horizontal="center" readingOrder="0"/>
    </xf>
    <xf borderId="5" fillId="6" fontId="5" numFmtId="0" xfId="0" applyAlignment="1" applyBorder="1" applyFill="1" applyFont="1">
      <alignment horizontal="center" shrinkToFit="0" vertical="center" wrapText="1"/>
    </xf>
    <xf borderId="5" fillId="4" fontId="11" numFmtId="0" xfId="0" applyAlignment="1" applyBorder="1" applyFill="1" applyFont="1">
      <alignment horizontal="center" shrinkToFit="0" vertical="center" wrapText="1"/>
    </xf>
    <xf borderId="5" fillId="7" fontId="11" numFmtId="0" xfId="0" applyAlignment="1" applyBorder="1" applyFill="1" applyFont="1">
      <alignment horizontal="center" shrinkToFit="0" vertical="center" wrapText="1"/>
    </xf>
    <xf borderId="5" fillId="4" fontId="10" numFmtId="0" xfId="0" applyAlignment="1" applyBorder="1" applyFill="1" applyFont="1">
      <alignment horizontal="center" shrinkToFit="0" vertical="center" wrapText="1"/>
    </xf>
    <xf borderId="5" fillId="4" fontId="12" numFmtId="0" xfId="0" applyAlignment="1" applyBorder="1" applyFill="1" applyFont="1">
      <alignment horizontal="left" shrinkToFit="0" vertical="center" wrapText="1"/>
    </xf>
    <xf borderId="5" fillId="4" fontId="11" numFmtId="0" xfId="0" applyAlignment="1" applyBorder="1" applyFill="1" applyFont="1">
      <alignment horizontal="left" shrinkToFit="0" vertical="center" wrapText="1"/>
    </xf>
    <xf borderId="0" fillId="0" fontId="13" numFmtId="0" xfId="0" applyAlignment="1" applyFont="1">
      <alignment horizontal="left" readingOrder="0"/>
    </xf>
    <xf borderId="5" fillId="8" fontId="10" numFmtId="0" xfId="0" applyAlignment="1" applyBorder="1" applyFill="1" applyFont="1">
      <alignment horizontal="center" shrinkToFit="0" vertical="center" wrapText="1"/>
    </xf>
    <xf borderId="6" fillId="6" fontId="5" numFmtId="0" xfId="0" applyAlignment="1" applyBorder="1" applyFill="1" applyFont="1">
      <alignment horizontal="center" shrinkToFit="0" vertical="center" wrapText="1"/>
    </xf>
    <xf borderId="5" fillId="4" fontId="14" numFmtId="0" xfId="0" applyAlignment="1" applyBorder="1" applyFill="1" applyFont="1">
      <alignment horizontal="center" shrinkToFit="0" vertical="center" wrapText="1"/>
    </xf>
    <xf borderId="7" fillId="0" fontId="2" numFmtId="0" xfId="0" applyBorder="1" applyFont="1"/>
    <xf borderId="5" fillId="4" fontId="11" numFmtId="164" xfId="0" applyAlignment="1" applyBorder="1" applyFill="1" applyFont="1" applyNumberFormat="1">
      <alignment horizontal="center" shrinkToFit="0" vertical="center" wrapText="1"/>
    </xf>
    <xf borderId="0" fillId="0" fontId="15" numFmtId="0" xfId="0" applyAlignment="1" applyFont="1">
      <alignment horizontal="left" readingOrder="0" shrinkToFit="0" wrapText="0"/>
    </xf>
    <xf borderId="8" fillId="0" fontId="2" numFmtId="0" xfId="0" applyBorder="1" applyFont="1"/>
    <xf borderId="0" fillId="0" fontId="8" numFmtId="0" xfId="0" applyAlignment="1" applyFont="1">
      <alignment readingOrder="0"/>
    </xf>
    <xf borderId="5" fillId="4" fontId="10" numFmtId="164" xfId="0" applyAlignment="1" applyBorder="1" applyFill="1" applyFont="1" applyNumberFormat="1">
      <alignment horizontal="center" shrinkToFit="0" vertical="center" wrapText="1"/>
    </xf>
    <xf borderId="6" fillId="9" fontId="5" numFmtId="0" xfId="0" applyAlignment="1" applyBorder="1" applyFill="1" applyFont="1">
      <alignment horizontal="center" shrinkToFit="0" vertical="center" wrapText="1"/>
    </xf>
    <xf borderId="5" fillId="4" fontId="16" numFmtId="0" xfId="0" applyAlignment="1" applyBorder="1" applyFill="1" applyFont="1">
      <alignment horizontal="center" shrinkToFit="0" vertical="center" wrapText="1"/>
    </xf>
    <xf borderId="5" fillId="4" fontId="11" numFmtId="9" xfId="0" applyAlignment="1" applyBorder="1" applyFill="1" applyFont="1" applyNumberFormat="1">
      <alignment horizontal="center" shrinkToFit="0" vertical="center" wrapText="1"/>
    </xf>
    <xf borderId="6" fillId="10" fontId="5" numFmtId="0" xfId="0" applyAlignment="1" applyBorder="1" applyFill="1" applyFont="1">
      <alignment horizontal="center" shrinkToFit="0" vertical="center" wrapText="1"/>
    </xf>
    <xf borderId="5" fillId="11" fontId="7" numFmtId="0" xfId="0" applyAlignment="1" applyBorder="1" applyFill="1" applyFont="1">
      <alignment horizontal="center" shrinkToFit="0" vertical="center" wrapText="1"/>
    </xf>
    <xf borderId="6" fillId="12" fontId="5" numFmtId="0" xfId="0" applyAlignment="1" applyBorder="1" applyFill="1" applyFont="1">
      <alignment horizontal="center" shrinkToFit="0" vertical="center" wrapText="1"/>
    </xf>
    <xf borderId="5" fillId="4" fontId="16" numFmtId="164" xfId="0" applyAlignment="1" applyBorder="1" applyFill="1" applyFont="1" applyNumberFormat="1">
      <alignment horizontal="center" shrinkToFit="0" vertical="center" wrapText="1"/>
    </xf>
    <xf borderId="5" fillId="4" fontId="12" numFmtId="0" xfId="0" applyAlignment="1" applyBorder="1" applyFill="1" applyFont="1">
      <alignment horizontal="center" shrinkToFit="0" vertical="center" wrapText="1"/>
    </xf>
    <xf borderId="5" fillId="11" fontId="10" numFmtId="0" xfId="0" applyAlignment="1" applyBorder="1" applyFill="1" applyFont="1">
      <alignment horizontal="left" shrinkToFit="0" vertical="center" wrapText="1"/>
    </xf>
    <xf borderId="5" fillId="4" fontId="17" numFmtId="0" xfId="0" applyAlignment="1" applyBorder="1" applyFill="1" applyFont="1">
      <alignment horizontal="left" shrinkToFit="0" vertical="top" wrapText="1"/>
    </xf>
    <xf borderId="5" fillId="11" fontId="10" numFmtId="0" xfId="0" applyAlignment="1" applyBorder="1" applyFill="1" applyFont="1">
      <alignment horizontal="center" shrinkToFit="0" vertical="center" wrapText="1"/>
    </xf>
    <xf borderId="5" fillId="11" fontId="11" numFmtId="0" xfId="0" applyAlignment="1" applyBorder="1" applyFill="1" applyFont="1">
      <alignment horizontal="center" shrinkToFit="0" vertical="center" wrapText="1"/>
    </xf>
    <xf borderId="5" fillId="4" fontId="18" numFmtId="0" xfId="0" applyAlignment="1" applyBorder="1" applyFill="1" applyFont="1">
      <alignment horizontal="center" shrinkToFit="0" vertical="center" wrapText="1"/>
    </xf>
    <xf borderId="5" fillId="13" fontId="10" numFmtId="0" xfId="0" applyAlignment="1" applyBorder="1" applyFill="1" applyFont="1">
      <alignment horizontal="center" shrinkToFit="0" vertical="center" wrapText="1"/>
    </xf>
    <xf borderId="5" fillId="11" fontId="12" numFmtId="0" xfId="0" applyAlignment="1" applyBorder="1" applyFill="1" applyFont="1">
      <alignment horizontal="left" shrinkToFit="0" vertical="center" wrapText="1"/>
    </xf>
    <xf borderId="5" fillId="9" fontId="19" numFmtId="0" xfId="0" applyBorder="1" applyFill="1" applyFont="1"/>
    <xf borderId="5" fillId="11" fontId="11" numFmtId="0" xfId="0" applyAlignment="1" applyBorder="1" applyFill="1" applyFont="1">
      <alignment horizontal="left" shrinkToFit="0" vertical="center" wrapText="1"/>
    </xf>
    <xf borderId="5" fillId="4" fontId="20" numFmtId="0" xfId="0" applyAlignment="1" applyBorder="1" applyFill="1" applyFont="1">
      <alignment horizontal="center" shrinkToFit="0" vertical="center" wrapText="1"/>
    </xf>
    <xf borderId="6" fillId="9" fontId="21" numFmtId="0" xfId="0" applyAlignment="1" applyBorder="1" applyFill="1" applyFont="1">
      <alignment horizontal="center" readingOrder="0" shrinkToFit="0" vertical="center" wrapText="1"/>
    </xf>
    <xf borderId="5" fillId="14" fontId="20" numFmtId="0" xfId="0" applyAlignment="1" applyBorder="1" applyFill="1" applyFont="1">
      <alignment horizontal="center" shrinkToFit="0" vertical="center" wrapText="1"/>
    </xf>
    <xf borderId="5" fillId="11" fontId="14" numFmtId="0" xfId="0" applyAlignment="1" applyBorder="1" applyFill="1" applyFont="1">
      <alignment horizontal="center" shrinkToFit="0" vertical="center" wrapText="1"/>
    </xf>
    <xf borderId="5" fillId="11" fontId="11" numFmtId="164" xfId="0" applyAlignment="1" applyBorder="1" applyFill="1" applyFont="1" applyNumberFormat="1">
      <alignment horizontal="center" shrinkToFit="0" vertical="center" wrapText="1"/>
    </xf>
    <xf borderId="5" fillId="11" fontId="10" numFmtId="164" xfId="0" applyAlignment="1" applyBorder="1" applyFill="1" applyFont="1" applyNumberFormat="1">
      <alignment horizontal="center" shrinkToFit="0" vertical="center" wrapText="1"/>
    </xf>
    <xf borderId="5" fillId="11" fontId="11" numFmtId="0" xfId="0" applyAlignment="1" applyBorder="1" applyFill="1" applyFont="1">
      <alignment horizontal="center" readingOrder="0" shrinkToFit="0" vertical="center" wrapText="1"/>
    </xf>
    <xf borderId="5" fillId="10" fontId="9" numFmtId="0" xfId="0" applyAlignment="1" applyBorder="1" applyFill="1" applyFont="1">
      <alignment horizontal="center" shrinkToFit="0" vertical="center" wrapText="1"/>
    </xf>
    <xf borderId="5" fillId="11" fontId="11" numFmtId="9" xfId="0" applyAlignment="1" applyBorder="1" applyFill="1" applyFont="1" applyNumberFormat="1">
      <alignment horizontal="center" shrinkToFit="0" vertical="center" wrapText="1"/>
    </xf>
    <xf borderId="5" fillId="11" fontId="12" numFmtId="0" xfId="0" applyAlignment="1" applyBorder="1" applyFill="1" applyFont="1">
      <alignment horizontal="center" shrinkToFit="0" vertical="center" wrapText="1"/>
    </xf>
    <xf borderId="5" fillId="11" fontId="17" numFmtId="0" xfId="0" applyAlignment="1" applyBorder="1" applyFill="1" applyFont="1">
      <alignment horizontal="left" shrinkToFit="0" vertical="top" wrapText="1"/>
    </xf>
    <xf borderId="5" fillId="4" fontId="17" numFmtId="0" xfId="0" applyAlignment="1" applyBorder="1" applyFill="1" applyFont="1">
      <alignment horizontal="center" shrinkToFit="0" vertical="center" wrapText="1"/>
    </xf>
    <xf borderId="5" fillId="4" fontId="22" numFmtId="0" xfId="0" applyAlignment="1" applyBorder="1" applyFill="1" applyFont="1">
      <alignment horizontal="left" shrinkToFit="0" vertical="center" wrapText="1"/>
    </xf>
    <xf borderId="5" fillId="4" fontId="23" numFmtId="0" xfId="0" applyAlignment="1" applyBorder="1" applyFill="1" applyFont="1">
      <alignment horizontal="center" shrinkToFit="0" vertical="center" wrapText="1"/>
    </xf>
    <xf borderId="5" fillId="4" fontId="24" numFmtId="0" xfId="0" applyAlignment="1" applyBorder="1" applyFill="1" applyFont="1">
      <alignment horizontal="center" shrinkToFit="0" vertical="center" wrapText="1"/>
    </xf>
    <xf borderId="5" fillId="4" fontId="25" numFmtId="0" xfId="0" applyAlignment="1" applyBorder="1" applyFill="1" applyFont="1">
      <alignment horizontal="center" shrinkToFit="0" vertical="center" wrapText="1"/>
    </xf>
    <xf borderId="5" fillId="15" fontId="10" numFmtId="0" xfId="0" applyAlignment="1" applyBorder="1" applyFill="1" applyFont="1">
      <alignment horizontal="center" shrinkToFit="0" vertical="center" wrapText="1"/>
    </xf>
    <xf borderId="5" fillId="11" fontId="23" numFmtId="0" xfId="0" applyAlignment="1" applyBorder="1" applyFill="1" applyFont="1">
      <alignment horizontal="center" shrinkToFit="0" vertical="center" wrapText="1"/>
    </xf>
    <xf borderId="5" fillId="16" fontId="11" numFmtId="0" xfId="0" applyAlignment="1" applyBorder="1" applyFill="1" applyFont="1">
      <alignment horizontal="center" shrinkToFit="0" vertical="center" wrapText="1"/>
    </xf>
    <xf borderId="0" fillId="0" fontId="7" numFmtId="0" xfId="0" applyFont="1"/>
    <xf borderId="5" fillId="9" fontId="5" numFmtId="0" xfId="0" applyAlignment="1" applyBorder="1" applyFill="1" applyFont="1">
      <alignment horizontal="center" shrinkToFit="0" vertical="center" wrapText="1"/>
    </xf>
    <xf borderId="5" fillId="15" fontId="7" numFmtId="0" xfId="0" applyAlignment="1" applyBorder="1" applyFill="1" applyFont="1">
      <alignment horizontal="center" shrinkToFit="0" vertical="center" wrapText="1"/>
    </xf>
    <xf borderId="5" fillId="13" fontId="7" numFmtId="0" xfId="0" applyAlignment="1" applyBorder="1" applyFill="1" applyFont="1">
      <alignment horizontal="center" shrinkToFit="0" vertical="center" wrapText="1"/>
    </xf>
    <xf borderId="5" fillId="8" fontId="7" numFmtId="0" xfId="0" applyAlignment="1" applyBorder="1" applyFill="1" applyFont="1">
      <alignment horizontal="center" shrinkToFit="0" vertical="center" wrapText="1"/>
    </xf>
    <xf borderId="5" fillId="16" fontId="7" numFmtId="0" xfId="0" applyAlignment="1" applyBorder="1" applyFill="1" applyFont="1">
      <alignment horizontal="center" shrinkToFit="0" vertical="center" wrapText="1"/>
    </xf>
    <xf borderId="9" fillId="17" fontId="19" numFmtId="0" xfId="0" applyBorder="1" applyFill="1" applyFont="1"/>
    <xf borderId="5" fillId="4" fontId="16" numFmtId="9" xfId="0" applyAlignment="1" applyBorder="1" applyFill="1" applyFont="1" applyNumberFormat="1">
      <alignment horizontal="center" shrinkToFit="0" vertical="center" wrapText="1"/>
    </xf>
    <xf borderId="9" fillId="0" fontId="19" numFmtId="0" xfId="0" applyBorder="1" applyFont="1"/>
    <xf borderId="9" fillId="18" fontId="19" numFmtId="0" xfId="0" applyBorder="1" applyFill="1" applyFont="1"/>
    <xf borderId="5" fillId="11" fontId="16" numFmtId="0" xfId="0" applyAlignment="1" applyBorder="1" applyFill="1" applyFont="1">
      <alignment horizontal="center" shrinkToFit="0" vertical="center" wrapText="1"/>
    </xf>
    <xf borderId="5" fillId="11" fontId="25" numFmtId="0" xfId="0" applyAlignment="1" applyBorder="1" applyFill="1" applyFont="1">
      <alignment horizontal="center" shrinkToFit="0" vertical="center" wrapText="1"/>
    </xf>
    <xf borderId="5" fillId="15" fontId="11" numFmtId="0" xfId="0" applyAlignment="1" applyBorder="1" applyFill="1" applyFont="1">
      <alignment horizontal="center" shrinkToFit="0" vertical="center" wrapText="1"/>
    </xf>
    <xf borderId="5" fillId="11" fontId="16" numFmtId="9" xfId="0" applyAlignment="1" applyBorder="1" applyFill="1" applyFont="1" applyNumberFormat="1">
      <alignment horizontal="center" shrinkToFit="0" vertical="center" wrapText="1"/>
    </xf>
    <xf borderId="5" fillId="11" fontId="17" numFmtId="0" xfId="0" applyAlignment="1" applyBorder="1" applyFill="1" applyFont="1">
      <alignment horizontal="center" shrinkToFit="0" vertical="center" wrapText="1"/>
    </xf>
    <xf borderId="6" fillId="9" fontId="21" numFmtId="0" xfId="0" applyAlignment="1" applyBorder="1" applyFill="1" applyFont="1">
      <alignment horizontal="center" shrinkToFit="0" vertical="center" wrapText="1"/>
    </xf>
    <xf borderId="5" fillId="11" fontId="22" numFmtId="0" xfId="0" applyAlignment="1" applyBorder="1" applyFill="1" applyFont="1">
      <alignment horizontal="left" shrinkToFit="0" vertical="center" wrapText="1"/>
    </xf>
    <xf borderId="5" fillId="11" fontId="26" numFmtId="0" xfId="0" applyAlignment="1" applyBorder="1" applyFill="1" applyFont="1">
      <alignment horizontal="center" shrinkToFit="0" vertical="center" wrapText="1"/>
    </xf>
    <xf borderId="5" fillId="11" fontId="24" numFmtId="0" xfId="0" applyAlignment="1" applyBorder="1" applyFill="1" applyFont="1">
      <alignment horizontal="center" shrinkToFit="0" vertical="center" wrapText="1"/>
    </xf>
    <xf borderId="5" fillId="4" fontId="17" numFmtId="0" xfId="0" applyAlignment="1" applyBorder="1" applyFill="1" applyFont="1">
      <alignment horizontal="left" shrinkToFit="0" vertical="center" wrapText="1"/>
    </xf>
    <xf borderId="5" fillId="11" fontId="17" numFmtId="0" xfId="0" applyAlignment="1" applyBorder="1" applyFill="1" applyFont="1">
      <alignment horizontal="left" shrinkToFit="0" vertical="center" wrapText="1"/>
    </xf>
    <xf borderId="5" fillId="19" fontId="11" numFmtId="0" xfId="0" applyAlignment="1" applyBorder="1" applyFill="1" applyFont="1">
      <alignment horizontal="center" shrinkToFit="0" vertical="center" wrapText="1"/>
    </xf>
    <xf borderId="5" fillId="4" fontId="18" numFmtId="9" xfId="0" applyAlignment="1" applyBorder="1" applyFill="1" applyFont="1" applyNumberFormat="1">
      <alignment horizontal="center" shrinkToFit="0" vertical="center" wrapText="1"/>
    </xf>
    <xf borderId="5" fillId="4" fontId="17" numFmtId="0" xfId="0" applyAlignment="1" applyBorder="1" applyFill="1" applyFont="1">
      <alignment horizontal="left" readingOrder="0" shrinkToFit="0" vertical="top" wrapText="1"/>
    </xf>
    <xf borderId="9" fillId="20" fontId="19" numFmtId="0" xfId="0" applyBorder="1" applyFill="1" applyFont="1"/>
    <xf borderId="6" fillId="21" fontId="21" numFmtId="0" xfId="0" applyAlignment="1" applyBorder="1" applyFill="1" applyFont="1">
      <alignment horizontal="center" shrinkToFit="0" vertical="center" wrapText="1"/>
    </xf>
    <xf borderId="6" fillId="13" fontId="11" numFmtId="0" xfId="0" applyAlignment="1" applyBorder="1" applyFill="1" applyFont="1">
      <alignment horizontal="left" shrinkToFit="0" vertical="center" wrapText="1"/>
    </xf>
    <xf borderId="9" fillId="20" fontId="27" numFmtId="0" xfId="0" applyAlignment="1" applyBorder="1" applyFill="1" applyFont="1">
      <alignment horizontal="center" shrinkToFit="0" vertical="center" wrapText="1"/>
    </xf>
    <xf borderId="6" fillId="13" fontId="17" numFmtId="0" xfId="0" applyAlignment="1" applyBorder="1" applyFill="1" applyFont="1">
      <alignment horizontal="left" shrinkToFit="0" vertical="center" wrapText="1"/>
    </xf>
    <xf borderId="9" fillId="22" fontId="19" numFmtId="0" xfId="0" applyBorder="1" applyFill="1" applyFont="1"/>
    <xf borderId="6" fillId="6" fontId="28" numFmtId="0" xfId="0" applyAlignment="1" applyBorder="1" applyFill="1" applyFont="1">
      <alignment horizontal="center" shrinkToFit="0" vertical="center" wrapText="1"/>
    </xf>
    <xf borderId="5" fillId="4" fontId="29" numFmtId="0" xfId="0" applyAlignment="1" applyBorder="1" applyFill="1" applyFont="1">
      <alignment horizontal="left" shrinkToFit="0" vertical="center" wrapText="1"/>
    </xf>
    <xf borderId="5" fillId="4" fontId="10" numFmtId="164" xfId="0" applyAlignment="1" applyBorder="1" applyFill="1" applyFont="1" applyNumberFormat="1">
      <alignment horizontal="left" shrinkToFit="0" vertical="center" wrapText="1"/>
    </xf>
    <xf borderId="5" fillId="10" fontId="5" numFmtId="0" xfId="0" applyAlignment="1" applyBorder="1" applyFill="1" applyFont="1">
      <alignment horizontal="left" shrinkToFit="0" vertical="center" wrapText="1"/>
    </xf>
    <xf borderId="5" fillId="10" fontId="19" numFmtId="0" xfId="0" applyBorder="1" applyFill="1" applyFont="1"/>
    <xf borderId="5" fillId="3" fontId="5" numFmtId="0" xfId="0" applyAlignment="1" applyBorder="1" applyFill="1" applyFont="1">
      <alignment horizontal="left" shrinkToFit="0" vertical="center" wrapText="1"/>
    </xf>
    <xf borderId="9" fillId="23" fontId="19" numFmtId="0" xfId="0" applyBorder="1" applyFill="1" applyFont="1"/>
    <xf borderId="5" fillId="3" fontId="19" numFmtId="0" xfId="0" applyBorder="1" applyFill="1" applyFont="1"/>
    <xf borderId="5" fillId="16" fontId="30" numFmtId="0" xfId="0" applyAlignment="1" applyBorder="1" applyFill="1" applyFont="1">
      <alignment horizontal="left" shrinkToFit="0" vertical="center" wrapText="1"/>
    </xf>
    <xf borderId="5" fillId="16" fontId="19" numFmtId="0" xfId="0" applyBorder="1" applyFill="1" applyFont="1"/>
    <xf borderId="5" fillId="8" fontId="30" numFmtId="0" xfId="0" applyAlignment="1" applyBorder="1" applyFill="1" applyFont="1">
      <alignment horizontal="left" shrinkToFit="0" vertical="center" wrapText="1"/>
    </xf>
    <xf borderId="5" fillId="8" fontId="19" numFmtId="0" xfId="0" applyBorder="1" applyFill="1" applyFont="1"/>
    <xf borderId="5" fillId="9" fontId="5" numFmtId="0" xfId="0" applyAlignment="1" applyBorder="1" applyFill="1" applyFont="1">
      <alignment horizontal="left" shrinkToFit="0" vertical="center" wrapText="1"/>
    </xf>
    <xf borderId="5" fillId="24" fontId="5" numFmtId="0" xfId="0" applyAlignment="1" applyBorder="1" applyFill="1" applyFont="1">
      <alignment horizontal="left" shrinkToFit="0" vertical="center" wrapText="1"/>
    </xf>
    <xf borderId="5" fillId="24" fontId="19" numFmtId="0" xfId="0" applyBorder="1" applyFill="1" applyFont="1"/>
    <xf borderId="5" fillId="7" fontId="30" numFmtId="0" xfId="0" applyAlignment="1" applyBorder="1" applyFill="1" applyFont="1">
      <alignment horizontal="left" shrinkToFit="0" vertical="center" wrapText="1"/>
    </xf>
    <xf borderId="5" fillId="7" fontId="19" numFmtId="0" xfId="0" applyBorder="1" applyFill="1" applyFont="1"/>
    <xf borderId="5" fillId="13" fontId="30" numFmtId="0" xfId="0" applyAlignment="1" applyBorder="1" applyFill="1" applyFont="1">
      <alignment horizontal="left" shrinkToFit="0" vertical="center" wrapText="1"/>
    </xf>
    <xf borderId="5" fillId="13" fontId="19" numFmtId="0" xfId="0" applyBorder="1" applyFill="1" applyFont="1"/>
    <xf borderId="6" fillId="12" fontId="5" numFmtId="0" xfId="0" applyAlignment="1" applyBorder="1" applyFill="1" applyFont="1">
      <alignment horizontal="left" shrinkToFit="0" vertical="center" wrapText="1"/>
    </xf>
    <xf borderId="5" fillId="25" fontId="5" numFmtId="0" xfId="0" applyAlignment="1" applyBorder="1" applyFill="1" applyFont="1">
      <alignment horizontal="center" shrinkToFit="0" vertical="center" wrapText="1"/>
    </xf>
    <xf borderId="5" fillId="19" fontId="30" numFmtId="0" xfId="0" applyAlignment="1" applyBorder="1" applyFill="1" applyFont="1">
      <alignment horizontal="left" shrinkToFit="0" vertical="center" wrapText="1"/>
    </xf>
    <xf borderId="10" fillId="26" fontId="31" numFmtId="0" xfId="0" applyAlignment="1" applyBorder="1" applyFill="1" applyFont="1">
      <alignment horizontal="center" vertical="bottom"/>
    </xf>
    <xf borderId="10" fillId="26" fontId="31" numFmtId="0" xfId="0" applyAlignment="1" applyBorder="1" applyFill="1" applyFont="1">
      <alignment horizontal="center" shrinkToFit="0" vertical="bottom" wrapText="1"/>
    </xf>
    <xf borderId="0" fillId="0" fontId="32" numFmtId="0" xfId="0" applyFont="1"/>
    <xf borderId="10" fillId="0" fontId="33" numFmtId="0" xfId="0" applyAlignment="1" applyBorder="1" applyFont="1">
      <alignment horizontal="center" vertical="bottom"/>
    </xf>
    <xf borderId="0" fillId="0" fontId="17" numFmtId="0" xfId="0" applyFont="1"/>
    <xf borderId="10" fillId="0" fontId="33" numFmtId="165" xfId="0" applyAlignment="1" applyBorder="1" applyFont="1" applyNumberFormat="1">
      <alignment horizontal="center" vertical="bottom"/>
    </xf>
    <xf borderId="0" fillId="0" fontId="34" numFmtId="0" xfId="0" applyFont="1"/>
    <xf borderId="0" fillId="0" fontId="35" numFmtId="0" xfId="0" applyFont="1"/>
    <xf borderId="0" fillId="0" fontId="36" numFmtId="0" xfId="0" applyFont="1"/>
    <xf borderId="0" fillId="0" fontId="37" numFmtId="0" xfId="0" applyFont="1"/>
    <xf borderId="0" fillId="0" fontId="30" numFmtId="0" xfId="0" applyFont="1"/>
    <xf borderId="10" fillId="0" fontId="38" numFmtId="0" xfId="0" applyAlignment="1" applyBorder="1" applyFont="1">
      <alignment shrinkToFit="0" vertical="bottom" wrapText="0"/>
    </xf>
    <xf borderId="10" fillId="0" fontId="33" numFmtId="0" xfId="0" applyAlignment="1" applyBorder="1" applyFont="1">
      <alignment horizontal="center" readingOrder="0" shrinkToFit="0" vertical="bottom" wrapText="1"/>
    </xf>
    <xf borderId="10" fillId="0" fontId="39" numFmtId="0" xfId="0" applyAlignment="1" applyBorder="1" applyFont="1">
      <alignment shrinkToFit="0" vertical="bottom" wrapText="0"/>
    </xf>
    <xf borderId="10" fillId="0" fontId="33" numFmtId="0" xfId="0" applyAlignment="1" applyBorder="1" applyFont="1">
      <alignment horizontal="center" shrinkToFit="0" vertical="bottom" wrapText="1"/>
    </xf>
    <xf borderId="10" fillId="0" fontId="33" numFmtId="0" xfId="0" applyAlignment="1" applyBorder="1" applyFont="1">
      <alignment horizontal="center" readingOrder="0" vertical="bottom"/>
    </xf>
    <xf borderId="10" fillId="0" fontId="33" numFmtId="165" xfId="0" applyAlignment="1" applyBorder="1" applyFont="1" applyNumberFormat="1">
      <alignment horizontal="center" readingOrder="0" vertical="bottom"/>
    </xf>
    <xf borderId="10" fillId="0" fontId="40" numFmtId="0" xfId="0" applyAlignment="1" applyBorder="1" applyFont="1">
      <alignment readingOrder="0" shrinkToFit="0" vertical="bottom" wrapText="0"/>
    </xf>
    <xf borderId="10" fillId="0" fontId="33" numFmtId="0" xfId="0" applyAlignment="1" applyBorder="1" applyFont="1">
      <alignment vertical="bottom"/>
    </xf>
    <xf borderId="11" fillId="0" fontId="33" numFmtId="0" xfId="0" applyAlignment="1" applyBorder="1" applyFont="1">
      <alignment horizontal="center" readingOrder="0" vertical="center"/>
    </xf>
    <xf borderId="12" fillId="0" fontId="2" numFmtId="0" xfId="0" applyBorder="1" applyFont="1"/>
    <xf borderId="13" fillId="0" fontId="2" numFmtId="0" xfId="0" applyBorder="1" applyFont="1"/>
    <xf borderId="14" fillId="0" fontId="2" numFmtId="0" xfId="0" applyBorder="1" applyFont="1"/>
    <xf borderId="0" fillId="0" fontId="8" numFmtId="0" xfId="0" applyAlignment="1" applyFont="1">
      <alignment horizontal="center" shrinkToFit="0" wrapText="1"/>
    </xf>
    <xf borderId="0" fillId="11" fontId="41" numFmtId="0" xfId="0" applyAlignment="1" applyFill="1" applyFont="1">
      <alignment readingOrder="0"/>
    </xf>
  </cellXfs>
  <cellStyles count="1">
    <cellStyle xfId="0" name="Normal" builtinId="0"/>
  </cellStyles>
  <dxfs count="7">
    <dxf>
      <font>
        <b/>
        <sz val="10.0"/>
        <color rgb="FFC62828"/>
        <name val="Quattrocento Sans"/>
      </font>
      <fill>
        <patternFill patternType="solid">
          <fgColor rgb="FFFFCDD2"/>
          <bgColor rgb="FFFFCDD2"/>
        </patternFill>
      </fill>
      <border/>
    </dxf>
    <dxf>
      <font>
        <b/>
        <sz val="10.0"/>
        <color rgb="FF2E7D32"/>
        <name val="Quattrocento Sans"/>
      </font>
      <fill>
        <patternFill patternType="solid">
          <fgColor rgb="FFC8E6C9"/>
          <bgColor rgb="FFC8E6C9"/>
        </patternFill>
      </fill>
      <border/>
    </dxf>
    <dxf>
      <font>
        <b/>
        <color rgb="FFC62828"/>
      </font>
      <fill>
        <patternFill patternType="solid">
          <fgColor rgb="FFFFCDD2"/>
          <bgColor rgb="FFFFCDD2"/>
        </patternFill>
      </fill>
      <border/>
    </dxf>
    <dxf>
      <font>
        <b/>
        <color rgb="FFFF6F00"/>
      </font>
      <fill>
        <patternFill patternType="solid">
          <fgColor rgb="FFFFF9C4"/>
          <bgColor rgb="FFFFF9C4"/>
        </patternFill>
      </fill>
      <border/>
    </dxf>
    <dxf>
      <font/>
      <fill>
        <patternFill patternType="solid">
          <fgColor rgb="FFBBDEFB"/>
          <bgColor rgb="FFBBDEFB"/>
        </patternFill>
      </fill>
      <border/>
    </dxf>
    <dxf>
      <font>
        <b/>
        <color rgb="FFB71C1C"/>
      </font>
      <fill>
        <patternFill patternType="solid">
          <fgColor rgb="FFFF8A80"/>
          <bgColor rgb="FFFF8A80"/>
        </patternFill>
      </fill>
      <border/>
    </dxf>
    <dxf>
      <font>
        <b/>
        <color rgb="FFFF8F00"/>
      </font>
      <fill>
        <patternFill patternType="solid">
          <fgColor rgb="FFFFF9C4"/>
          <bgColor rgb="FFFFF9C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8ApB_rizYs95XWbnIGWKdzufwQf2XeCv0oR0-Yhl7uU/edit?usp=sharing" TargetMode="External"/><Relationship Id="rId2" Type="http://schemas.openxmlformats.org/officeDocument/2006/relationships/hyperlink" Target="https://github.com/duytranvan6904/VDT_project.git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holybro.com/collections/x500-kits/products/px4-development-kit-x500-v2" TargetMode="External"/><Relationship Id="rId2" Type="http://schemas.openxmlformats.org/officeDocument/2006/relationships/hyperlink" Target="https://quanphongrc.vn/ct/may-bay-dieu-khien/5939/ovonic-6200mah-4s-90c-14-8v-lipo-battery-xt60-plug.html" TargetMode="External"/><Relationship Id="rId3" Type="http://schemas.openxmlformats.org/officeDocument/2006/relationships/hyperlink" Target="https://shopee.vn/S%E1%BA%A1c-iMax-B6-mini-SkyRC-%C4%91o-n%E1%BB%99i-tr%E1%BB%9F-v%C3%A0-dung-l%C6%B0%E1%BB%A3ng-pin-b%C3%ACnh-%E1%BA%AFc-quy-s%E1%BA%A1c-c%C3%A2n-b%E1%BA%B1ng-cell-pin-i.13409807.237650617" TargetMode="External"/><Relationship Id="rId4" Type="http://schemas.openxmlformats.org/officeDocument/2006/relationships/hyperlink" Target="https://raspberrypi.vn/san-pham/mach-may-tinh-raspberry-pi-5" TargetMode="External"/><Relationship Id="rId10" Type="http://schemas.openxmlformats.org/officeDocument/2006/relationships/drawing" Target="../drawings/drawing6.xml"/><Relationship Id="rId9" Type="http://schemas.openxmlformats.org/officeDocument/2006/relationships/hyperlink" Target="https://hacom.vn/camera-intel-realsense-depth-d435-cait0001" TargetMode="External"/><Relationship Id="rId5" Type="http://schemas.openxmlformats.org/officeDocument/2006/relationships/hyperlink" Target="https://hacom.vn/camera-intel-realsense-depth-d435-cait0001" TargetMode="External"/><Relationship Id="rId6" Type="http://schemas.openxmlformats.org/officeDocument/2006/relationships/hyperlink" Target="https://quanphongrc.vn/ct/may-bay-dieu-khien/5939/ovonic-6200mah-4s-90c-14-8v-lipo-battery-xt60-plug.html" TargetMode="External"/><Relationship Id="rId7" Type="http://schemas.openxmlformats.org/officeDocument/2006/relationships/hyperlink" Target="https://shopee.vn/S%E1%BA%A1c-iMax-B6-mini-SkyRC-%C4%91o-n%E1%BB%99i-tr%E1%BB%9F-v%C3%A0-dung-l%C6%B0%E1%BB%A3ng-pin-b%C3%ACnh-%E1%BA%AFc-quy-s%E1%BA%A1c-c%C3%A2n-b%E1%BA%B1ng-cell-pin-i.13409807.237650617" TargetMode="External"/><Relationship Id="rId8" Type="http://schemas.openxmlformats.org/officeDocument/2006/relationships/hyperlink" Target="https://raspberrypi.vn/san-pham/mach-may-tinh-raspberry-pi-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D47A1"/>
    <pageSetUpPr fitToPage="1"/>
  </sheetPr>
  <sheetViews>
    <sheetView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0"/>
  <cols>
    <col customWidth="1" min="1" max="1" width="3.0"/>
    <col customWidth="1" min="2" max="2" width="29.13"/>
    <col customWidth="1" min="3" max="6" width="20.0"/>
    <col customWidth="1" min="7" max="7" width="3.0"/>
    <col customWidth="1" min="8" max="25" width="8.63"/>
  </cols>
  <sheetData>
    <row r="1" ht="13.5" customHeight="1">
      <c r="A1" s="3"/>
      <c r="B1" s="6"/>
      <c r="C1" s="2"/>
      <c r="D1" s="2"/>
      <c r="E1" s="2"/>
      <c r="F1" s="4"/>
      <c r="G1" s="3"/>
    </row>
    <row r="2" ht="13.5" customHeight="1">
      <c r="A2" s="3"/>
      <c r="B2" s="9" t="s">
        <v>5</v>
      </c>
      <c r="C2" s="2"/>
      <c r="D2" s="2"/>
      <c r="E2" s="2"/>
      <c r="F2" s="4"/>
      <c r="G2" s="3"/>
    </row>
    <row r="3" ht="13.5" customHeight="1">
      <c r="A3" s="3"/>
      <c r="B3" s="10" t="s">
        <v>12</v>
      </c>
      <c r="C3" s="2"/>
      <c r="D3" s="2"/>
      <c r="E3" s="2"/>
      <c r="F3" s="4"/>
      <c r="G3" s="3"/>
    </row>
    <row r="4" ht="13.5" customHeight="1">
      <c r="A4" s="3"/>
      <c r="B4" s="12" t="s">
        <v>19</v>
      </c>
      <c r="C4" s="12" t="s">
        <v>22</v>
      </c>
      <c r="D4" s="12" t="s">
        <v>23</v>
      </c>
      <c r="E4" s="14"/>
      <c r="F4" s="14"/>
      <c r="G4" s="3"/>
    </row>
    <row r="5" ht="13.5" customHeight="1">
      <c r="A5" s="3"/>
      <c r="B5" s="16">
        <v>1.0</v>
      </c>
      <c r="C5" s="16" t="s">
        <v>35</v>
      </c>
      <c r="D5" s="23" t="s">
        <v>38</v>
      </c>
      <c r="G5" s="3"/>
    </row>
    <row r="6" ht="13.5" customHeight="1">
      <c r="A6" s="3"/>
      <c r="B6" s="16">
        <v>2.0</v>
      </c>
      <c r="C6" s="16" t="s">
        <v>55</v>
      </c>
      <c r="D6" s="29" t="s">
        <v>58</v>
      </c>
      <c r="G6" s="3"/>
    </row>
    <row r="7" ht="13.5" customHeight="1">
      <c r="A7" s="3"/>
      <c r="B7" s="31"/>
      <c r="C7" s="31"/>
      <c r="D7" s="31"/>
      <c r="G7" s="3"/>
    </row>
    <row r="8" ht="13.5" customHeight="1">
      <c r="A8" s="3"/>
      <c r="B8" s="13" t="s">
        <v>65</v>
      </c>
      <c r="C8" s="13" t="s">
        <v>67</v>
      </c>
      <c r="D8" s="13" t="s">
        <v>68</v>
      </c>
      <c r="E8" s="13" t="s">
        <v>69</v>
      </c>
      <c r="F8" s="13" t="s">
        <v>70</v>
      </c>
      <c r="G8" s="3"/>
    </row>
    <row r="9" ht="13.5" customHeight="1">
      <c r="A9" s="3"/>
      <c r="B9" s="34" t="s">
        <v>72</v>
      </c>
      <c r="C9" s="34" t="s">
        <v>73</v>
      </c>
      <c r="D9" s="34" t="s">
        <v>74</v>
      </c>
      <c r="E9" s="39">
        <f>TODAY()</f>
        <v>46259</v>
      </c>
      <c r="F9" s="45">
        <f>MAX(0, DATE(2026,10,25)-TODAY())</f>
        <v>61</v>
      </c>
      <c r="G9" s="3"/>
    </row>
    <row r="10" ht="13.5" customHeight="1">
      <c r="A10" s="3"/>
      <c r="G10" s="3"/>
    </row>
    <row r="11" ht="13.5" customHeight="1">
      <c r="A11" s="3"/>
      <c r="B11" s="51" t="s">
        <v>92</v>
      </c>
      <c r="C11" s="27"/>
      <c r="D11" s="27"/>
      <c r="E11" s="27"/>
      <c r="F11" s="30"/>
      <c r="G11" s="3"/>
    </row>
    <row r="12" ht="13.5" customHeight="1">
      <c r="A12" s="3"/>
      <c r="B12" s="57" t="s">
        <v>96</v>
      </c>
      <c r="C12" s="57" t="s">
        <v>98</v>
      </c>
      <c r="D12" s="57" t="s">
        <v>99</v>
      </c>
      <c r="E12" s="57" t="s">
        <v>100</v>
      </c>
      <c r="F12" s="57" t="s">
        <v>101</v>
      </c>
      <c r="G12" s="3"/>
    </row>
    <row r="13" ht="13.5" customHeight="1">
      <c r="A13" s="3"/>
      <c r="B13" s="40" t="s">
        <v>57</v>
      </c>
      <c r="C13" s="18" t="s">
        <v>102</v>
      </c>
      <c r="D13" s="34">
        <f>COUNTIF(TASK_TRACKER!H:H,"*Duy*")+COUNTIF(TASK_TRACKER!H:H,"Cả nhóm")</f>
        <v>18</v>
      </c>
      <c r="E13" s="65">
        <f>COUNTIFS(TASK_TRACKER!H:H,"*Duy*",TASK_TRACKER!P:P,"✅ Done")+COUNTIFS(TASK_TRACKER!H:H,"Cả nhóm",TASK_TRACKER!P:P,"✅ Done")</f>
        <v>0</v>
      </c>
      <c r="F13" s="76">
        <f t="shared" ref="F13:F15" si="1">IF(D13=0,0,E13/D13)</f>
        <v>0</v>
      </c>
      <c r="G13" s="3"/>
    </row>
    <row r="14" ht="13.5" customHeight="1">
      <c r="A14" s="3"/>
      <c r="B14" s="59" t="s">
        <v>54</v>
      </c>
      <c r="C14" s="44" t="s">
        <v>209</v>
      </c>
      <c r="D14" s="79">
        <f>COUNTIF(TASK_TRACKER!H:H,"*Tuân*")+COUNTIF(TASK_TRACKER!H:H,"Cả nhóm")</f>
        <v>14</v>
      </c>
      <c r="E14" s="80">
        <f>COUNTIFS(TASK_TRACKER!H:H,"*Tuân*",TASK_TRACKER!P:P,"✅ Done")+COUNTIFS(TASK_TRACKER!H:H,"Cả nhóm",TASK_TRACKER!P:P,"✅ Done")</f>
        <v>0</v>
      </c>
      <c r="F14" s="82">
        <f t="shared" si="1"/>
        <v>0</v>
      </c>
      <c r="G14" s="3"/>
    </row>
    <row r="15" ht="13.5" customHeight="1">
      <c r="A15" s="3"/>
      <c r="B15" s="40" t="s">
        <v>114</v>
      </c>
      <c r="C15" s="18" t="s">
        <v>234</v>
      </c>
      <c r="D15" s="34">
        <f>COUNTIF(TASK_TRACKER!H:H,"*Việt Anh*")+COUNTIF(TASK_TRACKER!H:H,"Cả nhóm")</f>
        <v>14</v>
      </c>
      <c r="E15" s="65">
        <f>COUNTIFS(TASK_TRACKER!H:H,"*Việt Anh*",TASK_TRACKER!P:P,"✅ Done")+COUNTIFS(TASK_TRACKER!H:H,"Cả nhóm",TASK_TRACKER!P:P,"✅ Done")</f>
        <v>0</v>
      </c>
      <c r="F15" s="76">
        <f t="shared" si="1"/>
        <v>0</v>
      </c>
      <c r="G15" s="3"/>
    </row>
    <row r="16" ht="13.5" customHeight="1">
      <c r="A16" s="3"/>
      <c r="G16" s="3"/>
    </row>
    <row r="17" ht="13.5" customHeight="1">
      <c r="A17" s="3"/>
      <c r="B17" s="84" t="s">
        <v>246</v>
      </c>
      <c r="C17" s="27"/>
      <c r="D17" s="27"/>
      <c r="E17" s="27"/>
      <c r="F17" s="30"/>
      <c r="G17" s="3"/>
    </row>
    <row r="18" ht="13.5" customHeight="1">
      <c r="A18" s="3"/>
      <c r="B18" s="57" t="s">
        <v>251</v>
      </c>
      <c r="C18" s="57" t="s">
        <v>252</v>
      </c>
      <c r="D18" s="57" t="s">
        <v>253</v>
      </c>
      <c r="E18" s="57" t="s">
        <v>254</v>
      </c>
      <c r="F18" s="57" t="s">
        <v>15</v>
      </c>
      <c r="G18" s="3"/>
    </row>
    <row r="19" ht="13.5" customHeight="1">
      <c r="A19" s="3"/>
      <c r="B19" s="21" t="s">
        <v>257</v>
      </c>
      <c r="C19" s="28">
        <v>46264.0</v>
      </c>
      <c r="D19" s="34">
        <f t="shared" ref="D19:D25" si="2">MAX(0, C19-TODAY())</f>
        <v>5</v>
      </c>
      <c r="E19" s="88"/>
      <c r="F19" s="18" t="s">
        <v>268</v>
      </c>
      <c r="G19" s="3"/>
    </row>
    <row r="20" ht="13.5" customHeight="1">
      <c r="A20" s="3"/>
      <c r="B20" s="47" t="s">
        <v>270</v>
      </c>
      <c r="C20" s="54">
        <v>46271.0</v>
      </c>
      <c r="D20" s="79">
        <f t="shared" si="2"/>
        <v>12</v>
      </c>
      <c r="E20" s="89"/>
      <c r="F20" s="44" t="s">
        <v>268</v>
      </c>
      <c r="G20" s="3"/>
    </row>
    <row r="21" ht="13.5" customHeight="1">
      <c r="A21" s="3"/>
      <c r="B21" s="21" t="s">
        <v>276</v>
      </c>
      <c r="C21" s="28">
        <v>46285.0</v>
      </c>
      <c r="D21" s="34">
        <f t="shared" si="2"/>
        <v>26</v>
      </c>
      <c r="E21" s="88"/>
      <c r="F21" s="18" t="s">
        <v>268</v>
      </c>
      <c r="G21" s="3"/>
    </row>
    <row r="22" ht="13.5" customHeight="1">
      <c r="A22" s="3"/>
      <c r="B22" s="47" t="s">
        <v>277</v>
      </c>
      <c r="C22" s="54">
        <v>46292.0</v>
      </c>
      <c r="D22" s="79">
        <f t="shared" si="2"/>
        <v>33</v>
      </c>
      <c r="E22" s="89"/>
      <c r="F22" s="44" t="s">
        <v>268</v>
      </c>
      <c r="G22" s="3"/>
    </row>
    <row r="23" ht="13.5" customHeight="1">
      <c r="A23" s="3"/>
      <c r="B23" s="21" t="s">
        <v>280</v>
      </c>
      <c r="C23" s="28">
        <v>46299.0</v>
      </c>
      <c r="D23" s="34">
        <f t="shared" si="2"/>
        <v>40</v>
      </c>
      <c r="E23" s="88"/>
      <c r="F23" s="18" t="s">
        <v>268</v>
      </c>
      <c r="G23" s="3"/>
    </row>
    <row r="24" ht="13.5" customHeight="1">
      <c r="A24" s="3"/>
      <c r="B24" s="47" t="s">
        <v>283</v>
      </c>
      <c r="C24" s="54">
        <v>46306.0</v>
      </c>
      <c r="D24" s="79">
        <f t="shared" si="2"/>
        <v>47</v>
      </c>
      <c r="E24" s="89"/>
      <c r="F24" s="44" t="s">
        <v>268</v>
      </c>
      <c r="G24" s="3"/>
    </row>
    <row r="25" ht="13.5" customHeight="1">
      <c r="A25" s="3"/>
      <c r="B25" s="21" t="s">
        <v>285</v>
      </c>
      <c r="C25" s="28">
        <v>46320.0</v>
      </c>
      <c r="D25" s="34">
        <f t="shared" si="2"/>
        <v>61</v>
      </c>
      <c r="E25" s="88" t="s">
        <v>289</v>
      </c>
      <c r="F25" s="18" t="s">
        <v>268</v>
      </c>
      <c r="G25" s="3"/>
    </row>
    <row r="26" ht="13.5" customHeight="1">
      <c r="A26" s="3"/>
      <c r="G26" s="3"/>
    </row>
    <row r="27" ht="13.5" customHeight="1">
      <c r="A27" s="3"/>
      <c r="B27" s="84" t="s">
        <v>291</v>
      </c>
      <c r="C27" s="27"/>
      <c r="D27" s="27"/>
      <c r="E27" s="27"/>
      <c r="F27" s="30"/>
      <c r="G27" s="3"/>
    </row>
    <row r="28" ht="13.5" customHeight="1">
      <c r="A28" s="3"/>
      <c r="B28" s="57" t="s">
        <v>295</v>
      </c>
      <c r="C28" s="57" t="s">
        <v>296</v>
      </c>
      <c r="D28" s="57" t="s">
        <v>297</v>
      </c>
      <c r="E28" s="57" t="s">
        <v>298</v>
      </c>
      <c r="F28" s="57" t="s">
        <v>300</v>
      </c>
      <c r="G28" s="3"/>
    </row>
    <row r="29" ht="13.5" customHeight="1">
      <c r="A29" s="3"/>
      <c r="B29" s="45">
        <f>COUNTA(TASK_TRACKER!B4:B100)</f>
        <v>32</v>
      </c>
      <c r="C29" s="65">
        <f>COUNTIF(TASK_TRACKER!P4:P100,"✅ Done")</f>
        <v>0</v>
      </c>
      <c r="D29" s="34">
        <f>COUNTIF(TASK_TRACKER!P4:P100,"🔵 In Progress")</f>
        <v>0</v>
      </c>
      <c r="E29" s="26">
        <f>COUNTIF(TASK_TRACKER!P4:P100,"🔴 Blocked")</f>
        <v>0</v>
      </c>
      <c r="F29" s="91">
        <f>IF(B29=0,0,C29/B29)</f>
        <v>0</v>
      </c>
      <c r="G29" s="3"/>
    </row>
    <row r="30" ht="13.5" customHeight="1">
      <c r="A30" s="3"/>
      <c r="G30" s="3"/>
    </row>
    <row r="31" ht="13.5" customHeight="1">
      <c r="A31" s="3"/>
      <c r="B31" s="84" t="s">
        <v>332</v>
      </c>
      <c r="C31" s="27"/>
      <c r="D31" s="27"/>
      <c r="E31" s="27"/>
      <c r="F31" s="30"/>
      <c r="G31" s="3"/>
    </row>
    <row r="32" ht="13.5" customHeight="1">
      <c r="A32" s="3"/>
      <c r="B32" s="57" t="s">
        <v>335</v>
      </c>
      <c r="C32" s="57" t="s">
        <v>295</v>
      </c>
      <c r="D32" s="57" t="s">
        <v>337</v>
      </c>
      <c r="E32" s="57" t="s">
        <v>338</v>
      </c>
      <c r="F32" s="57" t="s">
        <v>339</v>
      </c>
      <c r="G32" s="3"/>
    </row>
    <row r="33" ht="13.5" customHeight="1">
      <c r="A33" s="3"/>
      <c r="B33" s="21" t="s">
        <v>47</v>
      </c>
      <c r="C33" s="34">
        <f>COUNTIF(TASK_TRACKER!C4:C100,"GĐ1*")</f>
        <v>8</v>
      </c>
      <c r="D33" s="65">
        <f>COUNTIFS(TASK_TRACKER!C4:C100,"GĐ1*",TASK_TRACKER!P4:P100,"✅ Done")</f>
        <v>0</v>
      </c>
      <c r="E33" s="76">
        <f t="shared" ref="E33:E36" si="3">IF(C33=0,0,D33/C33)</f>
        <v>0</v>
      </c>
      <c r="F33" s="18" t="s">
        <v>343</v>
      </c>
      <c r="G33" s="3"/>
    </row>
    <row r="34" ht="13.5" customHeight="1">
      <c r="A34" s="3"/>
      <c r="B34" s="47" t="s">
        <v>168</v>
      </c>
      <c r="C34" s="79">
        <f>COUNTIF(TASK_TRACKER!C4:C100,"GĐ2*")</f>
        <v>8</v>
      </c>
      <c r="D34" s="80">
        <f>COUNTIFS(TASK_TRACKER!C4:C100,"GĐ2*",TASK_TRACKER!P4:P100,"✅ Done")</f>
        <v>0</v>
      </c>
      <c r="E34" s="82">
        <f t="shared" si="3"/>
        <v>0</v>
      </c>
      <c r="F34" s="44" t="s">
        <v>344</v>
      </c>
      <c r="G34" s="3"/>
    </row>
    <row r="35" ht="13.5" customHeight="1">
      <c r="A35" s="3"/>
      <c r="B35" s="21" t="s">
        <v>231</v>
      </c>
      <c r="C35" s="34">
        <f>COUNTIF(TASK_TRACKER!C4:C100,"GĐ3*")</f>
        <v>8</v>
      </c>
      <c r="D35" s="65">
        <f>COUNTIFS(TASK_TRACKER!C4:C100,"GĐ3*",TASK_TRACKER!P4:P100,"✅ Done")</f>
        <v>0</v>
      </c>
      <c r="E35" s="76">
        <f t="shared" si="3"/>
        <v>0</v>
      </c>
      <c r="F35" s="18" t="s">
        <v>345</v>
      </c>
      <c r="G35" s="3"/>
    </row>
    <row r="36" ht="13.5" customHeight="1">
      <c r="A36" s="3"/>
      <c r="B36" s="47" t="s">
        <v>290</v>
      </c>
      <c r="C36" s="79">
        <f>COUNTIF(TASK_TRACKER!C4:C100,"GĐ4*")</f>
        <v>8</v>
      </c>
      <c r="D36" s="80">
        <f>COUNTIFS(TASK_TRACKER!C4:C100,"GĐ4*",TASK_TRACKER!P4:P100,"✅ Done")</f>
        <v>0</v>
      </c>
      <c r="E36" s="82">
        <f t="shared" si="3"/>
        <v>0</v>
      </c>
      <c r="F36" s="44" t="s">
        <v>346</v>
      </c>
      <c r="G36" s="3"/>
    </row>
    <row r="37" ht="13.5" customHeight="1">
      <c r="A37" s="3"/>
      <c r="G37" s="3"/>
    </row>
    <row r="38" ht="13.5" customHeight="1">
      <c r="A38" s="3"/>
      <c r="B38" s="94" t="s">
        <v>347</v>
      </c>
      <c r="C38" s="27"/>
      <c r="D38" s="27"/>
      <c r="E38" s="27"/>
      <c r="F38" s="30"/>
      <c r="G38" s="3"/>
    </row>
    <row r="39" ht="13.5" customHeight="1">
      <c r="A39" s="3"/>
      <c r="B39" s="95" t="s">
        <v>348</v>
      </c>
      <c r="C39" s="27"/>
      <c r="D39" s="27"/>
      <c r="E39" s="27"/>
      <c r="F39" s="30"/>
      <c r="G39" s="3"/>
    </row>
    <row r="40" ht="13.5" customHeight="1">
      <c r="A40" s="3"/>
      <c r="B40" s="95"/>
      <c r="C40" s="27"/>
      <c r="D40" s="27"/>
      <c r="E40" s="27"/>
      <c r="F40" s="30"/>
      <c r="G40" s="3"/>
    </row>
    <row r="41" ht="13.5" customHeight="1">
      <c r="A41" s="3"/>
      <c r="B41" s="95"/>
      <c r="C41" s="27"/>
      <c r="D41" s="27"/>
      <c r="E41" s="27"/>
      <c r="F41" s="30"/>
      <c r="G41" s="3"/>
    </row>
    <row r="42" ht="13.5" customHeight="1">
      <c r="A42" s="3"/>
      <c r="B42" s="95" t="s">
        <v>349</v>
      </c>
      <c r="C42" s="27"/>
      <c r="D42" s="27"/>
      <c r="E42" s="27"/>
      <c r="F42" s="30"/>
      <c r="G42" s="3"/>
    </row>
    <row r="43" ht="13.5" customHeight="1">
      <c r="A43" s="3"/>
      <c r="B43" s="95" t="str">
        <f>COUNTIF(TASK_TRACKER!P4:P100,"🔴 Blocked") &amp; " task(s) blocked"</f>
        <v>0 task(s) blocked</v>
      </c>
      <c r="C43" s="27"/>
      <c r="D43" s="27"/>
      <c r="E43" s="27"/>
      <c r="F43" s="30"/>
      <c r="G43" s="3"/>
    </row>
    <row r="44" ht="13.5" customHeight="1">
      <c r="A44" s="3"/>
      <c r="B44" s="95"/>
      <c r="C44" s="27"/>
      <c r="D44" s="27"/>
      <c r="E44" s="27"/>
      <c r="F44" s="30"/>
      <c r="G44" s="3"/>
    </row>
    <row r="45" ht="13.5" customHeight="1">
      <c r="A45" s="3"/>
      <c r="B45" s="97" t="s">
        <v>351</v>
      </c>
      <c r="C45" s="27"/>
      <c r="D45" s="27"/>
      <c r="E45" s="27"/>
      <c r="F45" s="30"/>
      <c r="G45" s="3"/>
    </row>
    <row r="46" ht="13.5" customHeight="1">
      <c r="A46" s="3"/>
      <c r="G46" s="3"/>
    </row>
    <row r="47" ht="13.5" customHeight="1">
      <c r="A47" s="3"/>
      <c r="G47" s="3"/>
    </row>
    <row r="48" ht="13.5" customHeight="1">
      <c r="A48" s="3"/>
      <c r="G48" s="3"/>
    </row>
    <row r="49" ht="13.5" customHeight="1">
      <c r="A49" s="3"/>
      <c r="G49" s="3"/>
    </row>
    <row r="50" ht="13.5" customHeight="1">
      <c r="A50" s="3"/>
      <c r="G50" s="3"/>
    </row>
    <row r="51" ht="13.5" customHeight="1">
      <c r="A51" s="3"/>
      <c r="G51" s="3"/>
    </row>
    <row r="52" ht="13.5" customHeight="1">
      <c r="A52" s="3"/>
      <c r="G52" s="3"/>
    </row>
    <row r="53" ht="13.5" customHeight="1">
      <c r="A53" s="3"/>
      <c r="G53" s="3"/>
    </row>
    <row r="54" ht="13.5" customHeight="1">
      <c r="A54" s="3"/>
      <c r="G54" s="3"/>
    </row>
    <row r="55" ht="13.5" customHeight="1">
      <c r="A55" s="3"/>
      <c r="G55" s="3"/>
    </row>
    <row r="56" ht="13.5" customHeight="1">
      <c r="A56" s="3"/>
      <c r="G56" s="3"/>
    </row>
    <row r="57" ht="13.5" customHeight="1">
      <c r="A57" s="3"/>
      <c r="G57" s="3"/>
    </row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  <row r="1001" ht="13.5" customHeight="1"/>
    <row r="1002" ht="13.5" customHeight="1"/>
    <row r="1003" ht="13.5" customHeight="1"/>
  </sheetData>
  <mergeCells count="15">
    <mergeCell ref="B38:F38"/>
    <mergeCell ref="B39:F39"/>
    <mergeCell ref="B40:F40"/>
    <mergeCell ref="B41:F41"/>
    <mergeCell ref="B42:F42"/>
    <mergeCell ref="B43:F43"/>
    <mergeCell ref="B44:F44"/>
    <mergeCell ref="B45:F45"/>
    <mergeCell ref="B1:F1"/>
    <mergeCell ref="B2:F2"/>
    <mergeCell ref="B3:F3"/>
    <mergeCell ref="B11:F11"/>
    <mergeCell ref="B17:F17"/>
    <mergeCell ref="B27:F27"/>
    <mergeCell ref="B31:F31"/>
  </mergeCells>
  <conditionalFormatting sqref="D19:D25">
    <cfRule type="cellIs" dxfId="2" priority="1" operator="lessThanOrEqual">
      <formula>3</formula>
    </cfRule>
  </conditionalFormatting>
  <conditionalFormatting sqref="D19:D25">
    <cfRule type="cellIs" dxfId="3" priority="2" operator="between">
      <formula>4</formula>
      <formula>7</formula>
    </cfRule>
  </conditionalFormatting>
  <hyperlinks>
    <hyperlink r:id="rId1" ref="D5"/>
    <hyperlink r:id="rId2" ref="D6"/>
  </hyperlinks>
  <printOptions/>
  <pageMargins bottom="1.0" footer="0.0" header="0.0" left="0.75" right="0.75" top="1.0"/>
  <pageSetup orientation="landscape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897B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2.63" defaultRowHeight="15.0"/>
  <cols>
    <col customWidth="1" min="1" max="1" width="5.0"/>
    <col customWidth="1" min="2" max="2" width="10.0"/>
    <col customWidth="1" min="3" max="3" width="22.0"/>
    <col customWidth="1" min="4" max="4" width="6.0"/>
    <col customWidth="1" hidden="1" min="5" max="5" width="8.0"/>
    <col customWidth="1" min="6" max="6" width="35.0"/>
    <col customWidth="1" min="7" max="7" width="45.0"/>
    <col customWidth="1" min="8" max="10" width="12.0"/>
    <col customWidth="1" min="11" max="11" width="14.0"/>
    <col customWidth="1" min="12" max="15" width="13.0"/>
    <col customWidth="1" min="16" max="16" width="15.0"/>
    <col customWidth="1" min="17" max="18" width="10.0"/>
    <col customWidth="1" min="19" max="19" width="8.0"/>
    <col customWidth="1" min="20" max="20" width="25.0"/>
    <col customWidth="1" min="21" max="22" width="30.0"/>
    <col customWidth="1" min="23" max="26" width="8.63"/>
  </cols>
  <sheetData>
    <row r="1" ht="13.5" customHeight="1">
      <c r="A1" s="5" t="s">
        <v>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4"/>
    </row>
    <row r="2" ht="13.5" customHeight="1">
      <c r="A2" s="10" t="s">
        <v>14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4"/>
    </row>
    <row r="3" ht="13.5" customHeight="1">
      <c r="A3" s="13" t="s">
        <v>20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13</v>
      </c>
      <c r="I3" s="13" t="s">
        <v>30</v>
      </c>
      <c r="J3" s="13" t="s">
        <v>31</v>
      </c>
      <c r="K3" s="13" t="s">
        <v>32</v>
      </c>
      <c r="L3" s="13" t="s">
        <v>33</v>
      </c>
      <c r="M3" s="13" t="s">
        <v>34</v>
      </c>
      <c r="N3" s="13" t="s">
        <v>36</v>
      </c>
      <c r="O3" s="13" t="s">
        <v>37</v>
      </c>
      <c r="P3" s="13" t="s">
        <v>15</v>
      </c>
      <c r="Q3" s="13" t="s">
        <v>39</v>
      </c>
      <c r="R3" s="13" t="s">
        <v>40</v>
      </c>
      <c r="S3" s="13" t="s">
        <v>42</v>
      </c>
      <c r="T3" s="13" t="s">
        <v>43</v>
      </c>
      <c r="U3" s="13" t="s">
        <v>44</v>
      </c>
      <c r="V3" s="13" t="s">
        <v>45</v>
      </c>
    </row>
    <row r="4" ht="39.75" customHeight="1">
      <c r="A4" s="18">
        <v>1.0</v>
      </c>
      <c r="B4" s="18" t="s">
        <v>46</v>
      </c>
      <c r="C4" s="19" t="s">
        <v>47</v>
      </c>
      <c r="D4" s="18" t="s">
        <v>48</v>
      </c>
      <c r="E4" s="18" t="s">
        <v>50</v>
      </c>
      <c r="F4" s="21" t="s">
        <v>51</v>
      </c>
      <c r="G4" s="22" t="s">
        <v>52</v>
      </c>
      <c r="H4" s="18" t="s">
        <v>54</v>
      </c>
      <c r="I4" s="18" t="s">
        <v>57</v>
      </c>
      <c r="J4" s="26" t="s">
        <v>60</v>
      </c>
      <c r="K4" s="18" t="s">
        <v>61</v>
      </c>
      <c r="L4" s="28">
        <v>46258.0</v>
      </c>
      <c r="M4" s="28">
        <v>46261.0</v>
      </c>
      <c r="N4" s="28"/>
      <c r="O4" s="28"/>
      <c r="P4" s="18" t="s">
        <v>66</v>
      </c>
      <c r="Q4" s="35">
        <v>0.0</v>
      </c>
      <c r="R4" s="40">
        <f t="shared" ref="R4:R35" si="1">IF(P4="✅ Done","—",MAX(0,M4-TODAY()))</f>
        <v>2</v>
      </c>
      <c r="S4" s="18">
        <v>16.0</v>
      </c>
      <c r="T4" s="42" t="s">
        <v>81</v>
      </c>
      <c r="U4" s="42" t="s">
        <v>82</v>
      </c>
      <c r="V4" s="42"/>
    </row>
    <row r="5" ht="39.75" customHeight="1">
      <c r="A5" s="44">
        <v>2.0</v>
      </c>
      <c r="B5" s="44" t="s">
        <v>86</v>
      </c>
      <c r="C5" s="19" t="s">
        <v>47</v>
      </c>
      <c r="D5" s="44" t="s">
        <v>48</v>
      </c>
      <c r="E5" s="44" t="s">
        <v>88</v>
      </c>
      <c r="F5" s="47" t="s">
        <v>89</v>
      </c>
      <c r="G5" s="49" t="s">
        <v>93</v>
      </c>
      <c r="H5" s="44" t="s">
        <v>54</v>
      </c>
      <c r="I5" s="44" t="s">
        <v>57</v>
      </c>
      <c r="J5" s="53" t="s">
        <v>60</v>
      </c>
      <c r="K5" s="44" t="s">
        <v>46</v>
      </c>
      <c r="L5" s="54">
        <v>46260.0</v>
      </c>
      <c r="M5" s="54">
        <v>46264.0</v>
      </c>
      <c r="N5" s="54"/>
      <c r="O5" s="54"/>
      <c r="P5" s="56" t="s">
        <v>66</v>
      </c>
      <c r="Q5" s="58">
        <v>0.0</v>
      </c>
      <c r="R5" s="59">
        <f t="shared" si="1"/>
        <v>5</v>
      </c>
      <c r="S5" s="44">
        <v>20.0</v>
      </c>
      <c r="T5" s="60" t="s">
        <v>103</v>
      </c>
      <c r="U5" s="60" t="s">
        <v>104</v>
      </c>
      <c r="V5" s="60"/>
    </row>
    <row r="6" ht="39.75" customHeight="1">
      <c r="A6" s="18">
        <v>3.0</v>
      </c>
      <c r="B6" s="18" t="s">
        <v>105</v>
      </c>
      <c r="C6" s="19" t="s">
        <v>47</v>
      </c>
      <c r="D6" s="18" t="s">
        <v>48</v>
      </c>
      <c r="E6" s="18" t="s">
        <v>106</v>
      </c>
      <c r="F6" s="21" t="s">
        <v>107</v>
      </c>
      <c r="G6" s="22" t="s">
        <v>109</v>
      </c>
      <c r="H6" s="18" t="s">
        <v>57</v>
      </c>
      <c r="I6" s="18" t="s">
        <v>54</v>
      </c>
      <c r="J6" s="63" t="s">
        <v>112</v>
      </c>
      <c r="K6" s="18" t="s">
        <v>61</v>
      </c>
      <c r="L6" s="28">
        <v>46258.0</v>
      </c>
      <c r="M6" s="28">
        <v>46262.0</v>
      </c>
      <c r="N6" s="28"/>
      <c r="O6" s="28"/>
      <c r="P6" s="18" t="s">
        <v>66</v>
      </c>
      <c r="Q6" s="35">
        <v>0.0</v>
      </c>
      <c r="R6" s="40">
        <f t="shared" si="1"/>
        <v>3</v>
      </c>
      <c r="S6" s="18">
        <v>12.0</v>
      </c>
      <c r="T6" s="42" t="s">
        <v>116</v>
      </c>
      <c r="U6" s="42" t="s">
        <v>118</v>
      </c>
      <c r="V6" s="42"/>
    </row>
    <row r="7" ht="39.75" customHeight="1">
      <c r="A7" s="44">
        <v>4.0</v>
      </c>
      <c r="B7" s="44" t="s">
        <v>119</v>
      </c>
      <c r="C7" s="19" t="s">
        <v>47</v>
      </c>
      <c r="D7" s="44" t="s">
        <v>48</v>
      </c>
      <c r="E7" s="44" t="s">
        <v>50</v>
      </c>
      <c r="F7" s="47" t="s">
        <v>121</v>
      </c>
      <c r="G7" s="49" t="s">
        <v>122</v>
      </c>
      <c r="H7" s="44" t="s">
        <v>57</v>
      </c>
      <c r="I7" s="44" t="s">
        <v>54</v>
      </c>
      <c r="J7" s="53" t="s">
        <v>60</v>
      </c>
      <c r="K7" s="44" t="s">
        <v>61</v>
      </c>
      <c r="L7" s="54">
        <v>46258.0</v>
      </c>
      <c r="M7" s="54">
        <v>46261.0</v>
      </c>
      <c r="N7" s="54"/>
      <c r="O7" s="54"/>
      <c r="P7" s="56" t="s">
        <v>66</v>
      </c>
      <c r="Q7" s="58">
        <v>0.0</v>
      </c>
      <c r="R7" s="59">
        <f t="shared" si="1"/>
        <v>2</v>
      </c>
      <c r="S7" s="44">
        <v>10.0</v>
      </c>
      <c r="T7" s="60" t="s">
        <v>127</v>
      </c>
      <c r="U7" s="60" t="s">
        <v>128</v>
      </c>
      <c r="V7" s="60"/>
    </row>
    <row r="8" ht="39.75" customHeight="1">
      <c r="A8" s="18">
        <v>5.0</v>
      </c>
      <c r="B8" s="18" t="s">
        <v>130</v>
      </c>
      <c r="C8" s="19" t="s">
        <v>47</v>
      </c>
      <c r="D8" s="18" t="s">
        <v>64</v>
      </c>
      <c r="E8" s="18" t="s">
        <v>88</v>
      </c>
      <c r="F8" s="21" t="s">
        <v>131</v>
      </c>
      <c r="G8" s="22" t="s">
        <v>134</v>
      </c>
      <c r="H8" s="18" t="s">
        <v>54</v>
      </c>
      <c r="I8" s="18" t="s">
        <v>57</v>
      </c>
      <c r="J8" s="63" t="s">
        <v>112</v>
      </c>
      <c r="K8" s="18" t="s">
        <v>86</v>
      </c>
      <c r="L8" s="28">
        <v>46265.0</v>
      </c>
      <c r="M8" s="28">
        <v>46268.0</v>
      </c>
      <c r="N8" s="28"/>
      <c r="O8" s="28"/>
      <c r="P8" s="18" t="s">
        <v>66</v>
      </c>
      <c r="Q8" s="35">
        <v>0.0</v>
      </c>
      <c r="R8" s="40">
        <f t="shared" si="1"/>
        <v>9</v>
      </c>
      <c r="S8" s="18">
        <v>14.0</v>
      </c>
      <c r="T8" s="42" t="s">
        <v>138</v>
      </c>
      <c r="U8" s="42" t="s">
        <v>139</v>
      </c>
      <c r="V8" s="42"/>
    </row>
    <row r="9" ht="39.75" customHeight="1">
      <c r="A9" s="44">
        <v>6.0</v>
      </c>
      <c r="B9" s="44" t="s">
        <v>140</v>
      </c>
      <c r="C9" s="19" t="s">
        <v>47</v>
      </c>
      <c r="D9" s="44" t="s">
        <v>64</v>
      </c>
      <c r="E9" s="44" t="s">
        <v>142</v>
      </c>
      <c r="F9" s="47" t="s">
        <v>143</v>
      </c>
      <c r="G9" s="49" t="s">
        <v>144</v>
      </c>
      <c r="H9" s="44" t="s">
        <v>57</v>
      </c>
      <c r="I9" s="44" t="s">
        <v>114</v>
      </c>
      <c r="J9" s="53" t="s">
        <v>60</v>
      </c>
      <c r="K9" s="44" t="s">
        <v>105</v>
      </c>
      <c r="L9" s="54">
        <v>46265.0</v>
      </c>
      <c r="M9" s="54">
        <v>46270.0</v>
      </c>
      <c r="N9" s="54"/>
      <c r="O9" s="54"/>
      <c r="P9" s="44" t="s">
        <v>66</v>
      </c>
      <c r="Q9" s="58">
        <v>0.0</v>
      </c>
      <c r="R9" s="59">
        <f t="shared" si="1"/>
        <v>11</v>
      </c>
      <c r="S9" s="44">
        <v>18.0</v>
      </c>
      <c r="T9" s="60" t="s">
        <v>145</v>
      </c>
      <c r="U9" s="60" t="s">
        <v>146</v>
      </c>
      <c r="V9" s="60"/>
    </row>
    <row r="10" ht="39.75" customHeight="1">
      <c r="A10" s="18">
        <v>7.0</v>
      </c>
      <c r="B10" s="18" t="s">
        <v>147</v>
      </c>
      <c r="C10" s="19" t="s">
        <v>47</v>
      </c>
      <c r="D10" s="18" t="s">
        <v>48</v>
      </c>
      <c r="E10" s="18" t="s">
        <v>148</v>
      </c>
      <c r="F10" s="21" t="s">
        <v>149</v>
      </c>
      <c r="G10" s="22" t="s">
        <v>150</v>
      </c>
      <c r="H10" s="18" t="s">
        <v>114</v>
      </c>
      <c r="I10" s="18" t="s">
        <v>57</v>
      </c>
      <c r="J10" s="26" t="s">
        <v>60</v>
      </c>
      <c r="K10" s="18" t="s">
        <v>119</v>
      </c>
      <c r="L10" s="28">
        <v>46265.0</v>
      </c>
      <c r="M10" s="28">
        <v>46270.0</v>
      </c>
      <c r="N10" s="28"/>
      <c r="O10" s="28"/>
      <c r="P10" s="18" t="s">
        <v>66</v>
      </c>
      <c r="Q10" s="35">
        <v>0.0</v>
      </c>
      <c r="R10" s="40">
        <f t="shared" si="1"/>
        <v>11</v>
      </c>
      <c r="S10" s="18">
        <v>16.0</v>
      </c>
      <c r="T10" s="42" t="s">
        <v>151</v>
      </c>
      <c r="U10" s="42" t="s">
        <v>152</v>
      </c>
      <c r="V10" s="42"/>
    </row>
    <row r="11" ht="39.75" customHeight="1">
      <c r="A11" s="44">
        <v>8.0</v>
      </c>
      <c r="B11" s="44" t="s">
        <v>153</v>
      </c>
      <c r="C11" s="19" t="s">
        <v>47</v>
      </c>
      <c r="D11" s="44" t="s">
        <v>64</v>
      </c>
      <c r="E11" s="44" t="s">
        <v>50</v>
      </c>
      <c r="F11" s="47" t="s">
        <v>156</v>
      </c>
      <c r="G11" s="49" t="s">
        <v>157</v>
      </c>
      <c r="H11" s="44" t="s">
        <v>158</v>
      </c>
      <c r="I11" s="44" t="s">
        <v>61</v>
      </c>
      <c r="J11" s="67" t="s">
        <v>112</v>
      </c>
      <c r="K11" s="44" t="s">
        <v>119</v>
      </c>
      <c r="L11" s="54">
        <v>46267.0</v>
      </c>
      <c r="M11" s="54">
        <v>46268.0</v>
      </c>
      <c r="N11" s="54"/>
      <c r="O11" s="54"/>
      <c r="P11" s="44" t="s">
        <v>66</v>
      </c>
      <c r="Q11" s="58">
        <v>0.0</v>
      </c>
      <c r="R11" s="59">
        <f t="shared" si="1"/>
        <v>9</v>
      </c>
      <c r="S11" s="44">
        <v>6.0</v>
      </c>
      <c r="T11" s="60" t="s">
        <v>164</v>
      </c>
      <c r="U11" s="60" t="s">
        <v>165</v>
      </c>
      <c r="V11" s="60"/>
    </row>
    <row r="12" ht="39.75" customHeight="1">
      <c r="A12" s="18">
        <v>9.0</v>
      </c>
      <c r="B12" s="18" t="s">
        <v>166</v>
      </c>
      <c r="C12" s="68" t="s">
        <v>168</v>
      </c>
      <c r="D12" s="18" t="s">
        <v>75</v>
      </c>
      <c r="E12" s="18" t="s">
        <v>172</v>
      </c>
      <c r="F12" s="21" t="s">
        <v>173</v>
      </c>
      <c r="G12" s="22" t="s">
        <v>175</v>
      </c>
      <c r="H12" s="18" t="s">
        <v>57</v>
      </c>
      <c r="I12" s="18" t="s">
        <v>54</v>
      </c>
      <c r="J12" s="26" t="s">
        <v>60</v>
      </c>
      <c r="K12" s="18" t="s">
        <v>140</v>
      </c>
      <c r="L12" s="28">
        <v>46272.0</v>
      </c>
      <c r="M12" s="28">
        <v>46276.0</v>
      </c>
      <c r="N12" s="28"/>
      <c r="O12" s="28"/>
      <c r="P12" s="18" t="s">
        <v>66</v>
      </c>
      <c r="Q12" s="35">
        <v>0.0</v>
      </c>
      <c r="R12" s="40">
        <f t="shared" si="1"/>
        <v>17</v>
      </c>
      <c r="S12" s="18">
        <v>18.0</v>
      </c>
      <c r="T12" s="42" t="s">
        <v>178</v>
      </c>
      <c r="U12" s="42" t="s">
        <v>179</v>
      </c>
      <c r="V12" s="42"/>
    </row>
    <row r="13" ht="39.75" customHeight="1">
      <c r="A13" s="44">
        <v>10.0</v>
      </c>
      <c r="B13" s="44" t="s">
        <v>180</v>
      </c>
      <c r="C13" s="68" t="s">
        <v>168</v>
      </c>
      <c r="D13" s="44" t="s">
        <v>75</v>
      </c>
      <c r="E13" s="44" t="s">
        <v>181</v>
      </c>
      <c r="F13" s="47" t="s">
        <v>182</v>
      </c>
      <c r="G13" s="49" t="s">
        <v>183</v>
      </c>
      <c r="H13" s="44" t="s">
        <v>57</v>
      </c>
      <c r="I13" s="44" t="s">
        <v>54</v>
      </c>
      <c r="J13" s="67" t="s">
        <v>112</v>
      </c>
      <c r="K13" s="44" t="s">
        <v>166</v>
      </c>
      <c r="L13" s="54">
        <v>46275.0</v>
      </c>
      <c r="M13" s="54">
        <v>46278.0</v>
      </c>
      <c r="N13" s="54"/>
      <c r="O13" s="54"/>
      <c r="P13" s="44" t="s">
        <v>66</v>
      </c>
      <c r="Q13" s="58">
        <v>0.0</v>
      </c>
      <c r="R13" s="59">
        <f t="shared" si="1"/>
        <v>19</v>
      </c>
      <c r="S13" s="44">
        <v>10.0</v>
      </c>
      <c r="T13" s="60" t="s">
        <v>188</v>
      </c>
      <c r="U13" s="60" t="s">
        <v>189</v>
      </c>
      <c r="V13" s="60"/>
    </row>
    <row r="14" ht="39.75" customHeight="1">
      <c r="A14" s="18">
        <v>11.0</v>
      </c>
      <c r="B14" s="18" t="s">
        <v>190</v>
      </c>
      <c r="C14" s="68" t="s">
        <v>168</v>
      </c>
      <c r="D14" s="18" t="s">
        <v>75</v>
      </c>
      <c r="E14" s="18" t="s">
        <v>191</v>
      </c>
      <c r="F14" s="21" t="s">
        <v>192</v>
      </c>
      <c r="G14" s="22" t="s">
        <v>193</v>
      </c>
      <c r="H14" s="18" t="s">
        <v>54</v>
      </c>
      <c r="I14" s="18" t="s">
        <v>57</v>
      </c>
      <c r="J14" s="26" t="s">
        <v>60</v>
      </c>
      <c r="K14" s="18" t="s">
        <v>130</v>
      </c>
      <c r="L14" s="28">
        <v>46272.0</v>
      </c>
      <c r="M14" s="28">
        <v>46277.0</v>
      </c>
      <c r="N14" s="28"/>
      <c r="O14" s="28"/>
      <c r="P14" s="18" t="s">
        <v>66</v>
      </c>
      <c r="Q14" s="35">
        <v>0.0</v>
      </c>
      <c r="R14" s="40">
        <f t="shared" si="1"/>
        <v>18</v>
      </c>
      <c r="S14" s="18">
        <v>16.0</v>
      </c>
      <c r="T14" s="42" t="s">
        <v>194</v>
      </c>
      <c r="U14" s="42" t="s">
        <v>195</v>
      </c>
      <c r="V14" s="42"/>
    </row>
    <row r="15" ht="39.75" customHeight="1">
      <c r="A15" s="44">
        <v>12.0</v>
      </c>
      <c r="B15" s="44" t="s">
        <v>196</v>
      </c>
      <c r="C15" s="68" t="s">
        <v>168</v>
      </c>
      <c r="D15" s="44" t="s">
        <v>75</v>
      </c>
      <c r="E15" s="44" t="s">
        <v>50</v>
      </c>
      <c r="F15" s="47" t="s">
        <v>198</v>
      </c>
      <c r="G15" s="49" t="s">
        <v>199</v>
      </c>
      <c r="H15" s="44" t="s">
        <v>114</v>
      </c>
      <c r="I15" s="44" t="s">
        <v>57</v>
      </c>
      <c r="J15" s="67" t="s">
        <v>112</v>
      </c>
      <c r="K15" s="44" t="s">
        <v>200</v>
      </c>
      <c r="L15" s="54">
        <v>46272.0</v>
      </c>
      <c r="M15" s="54">
        <v>46276.0</v>
      </c>
      <c r="N15" s="54"/>
      <c r="O15" s="54"/>
      <c r="P15" s="44" t="s">
        <v>66</v>
      </c>
      <c r="Q15" s="58">
        <v>0.0</v>
      </c>
      <c r="R15" s="59">
        <f t="shared" si="1"/>
        <v>17</v>
      </c>
      <c r="S15" s="44">
        <v>12.0</v>
      </c>
      <c r="T15" s="60" t="s">
        <v>201</v>
      </c>
      <c r="U15" s="60" t="s">
        <v>202</v>
      </c>
      <c r="V15" s="60"/>
    </row>
    <row r="16" ht="39.75" customHeight="1">
      <c r="A16" s="18">
        <v>13.0</v>
      </c>
      <c r="B16" s="18" t="s">
        <v>203</v>
      </c>
      <c r="C16" s="68" t="s">
        <v>168</v>
      </c>
      <c r="D16" s="18" t="s">
        <v>76</v>
      </c>
      <c r="E16" s="18" t="s">
        <v>204</v>
      </c>
      <c r="F16" s="21" t="s">
        <v>205</v>
      </c>
      <c r="G16" s="22" t="s">
        <v>206</v>
      </c>
      <c r="H16" s="18" t="s">
        <v>57</v>
      </c>
      <c r="I16" s="18" t="s">
        <v>114</v>
      </c>
      <c r="J16" s="63" t="s">
        <v>112</v>
      </c>
      <c r="K16" s="18" t="s">
        <v>140</v>
      </c>
      <c r="L16" s="28">
        <v>46279.0</v>
      </c>
      <c r="M16" s="28">
        <v>46282.0</v>
      </c>
      <c r="N16" s="28"/>
      <c r="O16" s="28"/>
      <c r="P16" s="18" t="s">
        <v>66</v>
      </c>
      <c r="Q16" s="35">
        <v>0.0</v>
      </c>
      <c r="R16" s="40">
        <f t="shared" si="1"/>
        <v>23</v>
      </c>
      <c r="S16" s="18">
        <v>10.0</v>
      </c>
      <c r="T16" s="42" t="s">
        <v>207</v>
      </c>
      <c r="U16" s="42" t="s">
        <v>208</v>
      </c>
      <c r="V16" s="42"/>
    </row>
    <row r="17" ht="39.75" customHeight="1">
      <c r="A17" s="44">
        <v>14.0</v>
      </c>
      <c r="B17" s="44" t="s">
        <v>159</v>
      </c>
      <c r="C17" s="68" t="s">
        <v>168</v>
      </c>
      <c r="D17" s="44" t="s">
        <v>76</v>
      </c>
      <c r="E17" s="44" t="s">
        <v>210</v>
      </c>
      <c r="F17" s="47" t="s">
        <v>211</v>
      </c>
      <c r="G17" s="49" t="s">
        <v>212</v>
      </c>
      <c r="H17" s="44" t="s">
        <v>54</v>
      </c>
      <c r="I17" s="44" t="s">
        <v>114</v>
      </c>
      <c r="J17" s="53" t="s">
        <v>60</v>
      </c>
      <c r="K17" s="44" t="s">
        <v>213</v>
      </c>
      <c r="L17" s="54">
        <v>46279.0</v>
      </c>
      <c r="M17" s="54">
        <v>46284.0</v>
      </c>
      <c r="N17" s="54"/>
      <c r="O17" s="54"/>
      <c r="P17" s="44" t="s">
        <v>66</v>
      </c>
      <c r="Q17" s="58">
        <v>0.0</v>
      </c>
      <c r="R17" s="59">
        <f t="shared" si="1"/>
        <v>25</v>
      </c>
      <c r="S17" s="44">
        <v>20.0</v>
      </c>
      <c r="T17" s="60" t="s">
        <v>214</v>
      </c>
      <c r="U17" s="60" t="s">
        <v>215</v>
      </c>
      <c r="V17" s="60"/>
    </row>
    <row r="18" ht="39.75" customHeight="1">
      <c r="A18" s="18">
        <v>15.0</v>
      </c>
      <c r="B18" s="18" t="s">
        <v>216</v>
      </c>
      <c r="C18" s="68" t="s">
        <v>168</v>
      </c>
      <c r="D18" s="18" t="s">
        <v>76</v>
      </c>
      <c r="E18" s="18" t="s">
        <v>217</v>
      </c>
      <c r="F18" s="21" t="s">
        <v>218</v>
      </c>
      <c r="G18" s="22" t="s">
        <v>219</v>
      </c>
      <c r="H18" s="18" t="s">
        <v>114</v>
      </c>
      <c r="I18" s="18" t="s">
        <v>54</v>
      </c>
      <c r="J18" s="26" t="s">
        <v>60</v>
      </c>
      <c r="K18" s="18" t="s">
        <v>220</v>
      </c>
      <c r="L18" s="28">
        <v>46281.0</v>
      </c>
      <c r="M18" s="28">
        <v>46285.0</v>
      </c>
      <c r="N18" s="28"/>
      <c r="O18" s="28"/>
      <c r="P18" s="18" t="s">
        <v>66</v>
      </c>
      <c r="Q18" s="35">
        <v>0.0</v>
      </c>
      <c r="R18" s="40">
        <f t="shared" si="1"/>
        <v>26</v>
      </c>
      <c r="S18" s="18">
        <v>14.0</v>
      </c>
      <c r="T18" s="42" t="s">
        <v>221</v>
      </c>
      <c r="U18" s="42" t="s">
        <v>222</v>
      </c>
      <c r="V18" s="42"/>
    </row>
    <row r="19" ht="39.75" customHeight="1">
      <c r="A19" s="44">
        <v>16.0</v>
      </c>
      <c r="B19" s="44" t="s">
        <v>223</v>
      </c>
      <c r="C19" s="68" t="s">
        <v>168</v>
      </c>
      <c r="D19" s="44" t="s">
        <v>76</v>
      </c>
      <c r="E19" s="44" t="s">
        <v>224</v>
      </c>
      <c r="F19" s="47" t="s">
        <v>225</v>
      </c>
      <c r="G19" s="49" t="s">
        <v>226</v>
      </c>
      <c r="H19" s="44" t="s">
        <v>158</v>
      </c>
      <c r="I19" s="44" t="s">
        <v>61</v>
      </c>
      <c r="J19" s="53" t="s">
        <v>60</v>
      </c>
      <c r="K19" s="44" t="s">
        <v>227</v>
      </c>
      <c r="L19" s="54">
        <v>46284.0</v>
      </c>
      <c r="M19" s="54">
        <v>46285.0</v>
      </c>
      <c r="N19" s="54"/>
      <c r="O19" s="54"/>
      <c r="P19" s="44" t="s">
        <v>66</v>
      </c>
      <c r="Q19" s="58">
        <v>0.0</v>
      </c>
      <c r="R19" s="59">
        <f t="shared" si="1"/>
        <v>26</v>
      </c>
      <c r="S19" s="44">
        <v>8.0</v>
      </c>
      <c r="T19" s="60" t="s">
        <v>228</v>
      </c>
      <c r="U19" s="60" t="s">
        <v>229</v>
      </c>
      <c r="V19" s="60"/>
    </row>
    <row r="20" ht="39.75" customHeight="1">
      <c r="A20" s="18">
        <v>17.0</v>
      </c>
      <c r="B20" s="18" t="s">
        <v>230</v>
      </c>
      <c r="C20" s="81" t="s">
        <v>231</v>
      </c>
      <c r="D20" s="18" t="s">
        <v>78</v>
      </c>
      <c r="E20" s="18" t="s">
        <v>50</v>
      </c>
      <c r="F20" s="21" t="s">
        <v>232</v>
      </c>
      <c r="G20" s="22" t="s">
        <v>233</v>
      </c>
      <c r="H20" s="18" t="s">
        <v>158</v>
      </c>
      <c r="I20" s="18" t="s">
        <v>61</v>
      </c>
      <c r="J20" s="26" t="s">
        <v>60</v>
      </c>
      <c r="K20" s="18" t="s">
        <v>61</v>
      </c>
      <c r="L20" s="28">
        <v>46286.0</v>
      </c>
      <c r="M20" s="28">
        <v>46289.0</v>
      </c>
      <c r="N20" s="28"/>
      <c r="O20" s="28"/>
      <c r="P20" s="18" t="s">
        <v>66</v>
      </c>
      <c r="Q20" s="35">
        <v>0.0</v>
      </c>
      <c r="R20" s="40">
        <f t="shared" si="1"/>
        <v>30</v>
      </c>
      <c r="S20" s="18">
        <v>12.0</v>
      </c>
      <c r="T20" s="42" t="s">
        <v>235</v>
      </c>
      <c r="U20" s="42" t="s">
        <v>236</v>
      </c>
      <c r="V20" s="42"/>
    </row>
    <row r="21" ht="39.75" customHeight="1">
      <c r="A21" s="44">
        <v>18.0</v>
      </c>
      <c r="B21" s="44" t="s">
        <v>115</v>
      </c>
      <c r="C21" s="81" t="s">
        <v>231</v>
      </c>
      <c r="D21" s="44" t="s">
        <v>78</v>
      </c>
      <c r="E21" s="44" t="s">
        <v>237</v>
      </c>
      <c r="F21" s="47" t="s">
        <v>238</v>
      </c>
      <c r="G21" s="49" t="s">
        <v>239</v>
      </c>
      <c r="H21" s="44" t="s">
        <v>114</v>
      </c>
      <c r="I21" s="44" t="s">
        <v>57</v>
      </c>
      <c r="J21" s="53" t="s">
        <v>60</v>
      </c>
      <c r="K21" s="44" t="s">
        <v>230</v>
      </c>
      <c r="L21" s="54">
        <v>46288.0</v>
      </c>
      <c r="M21" s="54">
        <v>46291.0</v>
      </c>
      <c r="N21" s="54"/>
      <c r="O21" s="54"/>
      <c r="P21" s="44" t="s">
        <v>66</v>
      </c>
      <c r="Q21" s="58">
        <v>0.0</v>
      </c>
      <c r="R21" s="59">
        <f t="shared" si="1"/>
        <v>32</v>
      </c>
      <c r="S21" s="44">
        <v>14.0</v>
      </c>
      <c r="T21" s="60" t="s">
        <v>240</v>
      </c>
      <c r="U21" s="60" t="s">
        <v>241</v>
      </c>
      <c r="V21" s="60"/>
    </row>
    <row r="22" ht="39.75" customHeight="1">
      <c r="A22" s="18">
        <v>19.0</v>
      </c>
      <c r="B22" s="18" t="s">
        <v>94</v>
      </c>
      <c r="C22" s="81" t="s">
        <v>231</v>
      </c>
      <c r="D22" s="18" t="s">
        <v>78</v>
      </c>
      <c r="E22" s="18" t="s">
        <v>106</v>
      </c>
      <c r="F22" s="21" t="s">
        <v>242</v>
      </c>
      <c r="G22" s="22" t="s">
        <v>243</v>
      </c>
      <c r="H22" s="18" t="s">
        <v>57</v>
      </c>
      <c r="I22" s="18" t="s">
        <v>114</v>
      </c>
      <c r="J22" s="63" t="s">
        <v>112</v>
      </c>
      <c r="K22" s="18" t="s">
        <v>140</v>
      </c>
      <c r="L22" s="28">
        <v>46286.0</v>
      </c>
      <c r="M22" s="28">
        <v>46291.0</v>
      </c>
      <c r="N22" s="28"/>
      <c r="O22" s="28"/>
      <c r="P22" s="18" t="s">
        <v>66</v>
      </c>
      <c r="Q22" s="35">
        <v>0.0</v>
      </c>
      <c r="R22" s="40">
        <f t="shared" si="1"/>
        <v>32</v>
      </c>
      <c r="S22" s="18">
        <v>16.0</v>
      </c>
      <c r="T22" s="42" t="s">
        <v>244</v>
      </c>
      <c r="U22" s="42" t="s">
        <v>245</v>
      </c>
      <c r="V22" s="42"/>
    </row>
    <row r="23" ht="39.75" customHeight="1">
      <c r="A23" s="44">
        <v>20.0</v>
      </c>
      <c r="B23" s="44" t="s">
        <v>247</v>
      </c>
      <c r="C23" s="81" t="s">
        <v>231</v>
      </c>
      <c r="D23" s="44" t="s">
        <v>78</v>
      </c>
      <c r="E23" s="44" t="s">
        <v>88</v>
      </c>
      <c r="F23" s="47" t="s">
        <v>248</v>
      </c>
      <c r="G23" s="49" t="s">
        <v>249</v>
      </c>
      <c r="H23" s="44" t="s">
        <v>54</v>
      </c>
      <c r="I23" s="44" t="s">
        <v>57</v>
      </c>
      <c r="J23" s="86" t="s">
        <v>250</v>
      </c>
      <c r="K23" s="44" t="s">
        <v>223</v>
      </c>
      <c r="L23" s="54">
        <v>46286.0</v>
      </c>
      <c r="M23" s="54">
        <v>46291.0</v>
      </c>
      <c r="N23" s="54"/>
      <c r="O23" s="54"/>
      <c r="P23" s="44" t="s">
        <v>66</v>
      </c>
      <c r="Q23" s="58">
        <v>0.0</v>
      </c>
      <c r="R23" s="59">
        <f t="shared" si="1"/>
        <v>32</v>
      </c>
      <c r="S23" s="44">
        <v>12.0</v>
      </c>
      <c r="T23" s="60" t="s">
        <v>255</v>
      </c>
      <c r="U23" s="60" t="s">
        <v>256</v>
      </c>
      <c r="V23" s="60"/>
    </row>
    <row r="24" ht="39.75" customHeight="1">
      <c r="A24" s="18">
        <v>21.0</v>
      </c>
      <c r="B24" s="18" t="s">
        <v>258</v>
      </c>
      <c r="C24" s="81" t="s">
        <v>231</v>
      </c>
      <c r="D24" s="18" t="s">
        <v>79</v>
      </c>
      <c r="E24" s="18" t="s">
        <v>259</v>
      </c>
      <c r="F24" s="21" t="s">
        <v>260</v>
      </c>
      <c r="G24" s="22" t="s">
        <v>261</v>
      </c>
      <c r="H24" s="18" t="s">
        <v>57</v>
      </c>
      <c r="I24" s="18" t="s">
        <v>114</v>
      </c>
      <c r="J24" s="26" t="s">
        <v>60</v>
      </c>
      <c r="K24" s="18" t="s">
        <v>94</v>
      </c>
      <c r="L24" s="28">
        <v>46293.0</v>
      </c>
      <c r="M24" s="28">
        <v>46296.0</v>
      </c>
      <c r="N24" s="28"/>
      <c r="O24" s="28"/>
      <c r="P24" s="18" t="s">
        <v>66</v>
      </c>
      <c r="Q24" s="35">
        <v>0.0</v>
      </c>
      <c r="R24" s="40">
        <f t="shared" si="1"/>
        <v>37</v>
      </c>
      <c r="S24" s="18">
        <v>12.0</v>
      </c>
      <c r="T24" s="42" t="s">
        <v>262</v>
      </c>
      <c r="U24" s="42" t="s">
        <v>263</v>
      </c>
      <c r="V24" s="42"/>
    </row>
    <row r="25" ht="39.75" customHeight="1">
      <c r="A25" s="44">
        <v>22.0</v>
      </c>
      <c r="B25" s="44" t="s">
        <v>264</v>
      </c>
      <c r="C25" s="81" t="s">
        <v>231</v>
      </c>
      <c r="D25" s="44" t="s">
        <v>79</v>
      </c>
      <c r="E25" s="44" t="s">
        <v>265</v>
      </c>
      <c r="F25" s="47" t="s">
        <v>266</v>
      </c>
      <c r="G25" s="49" t="s">
        <v>267</v>
      </c>
      <c r="H25" s="44" t="s">
        <v>114</v>
      </c>
      <c r="I25" s="44" t="s">
        <v>54</v>
      </c>
      <c r="J25" s="53" t="s">
        <v>60</v>
      </c>
      <c r="K25" s="44" t="s">
        <v>269</v>
      </c>
      <c r="L25" s="54">
        <v>46295.0</v>
      </c>
      <c r="M25" s="54">
        <v>46297.0</v>
      </c>
      <c r="N25" s="54"/>
      <c r="O25" s="54"/>
      <c r="P25" s="44" t="s">
        <v>66</v>
      </c>
      <c r="Q25" s="58">
        <v>0.0</v>
      </c>
      <c r="R25" s="59">
        <f t="shared" si="1"/>
        <v>38</v>
      </c>
      <c r="S25" s="44">
        <v>8.0</v>
      </c>
      <c r="T25" s="60" t="s">
        <v>271</v>
      </c>
      <c r="U25" s="60" t="s">
        <v>272</v>
      </c>
      <c r="V25" s="60"/>
    </row>
    <row r="26" ht="39.75" customHeight="1">
      <c r="A26" s="18">
        <v>23.0</v>
      </c>
      <c r="B26" s="18" t="s">
        <v>273</v>
      </c>
      <c r="C26" s="81" t="s">
        <v>231</v>
      </c>
      <c r="D26" s="18" t="s">
        <v>79</v>
      </c>
      <c r="E26" s="18" t="s">
        <v>210</v>
      </c>
      <c r="F26" s="21" t="s">
        <v>274</v>
      </c>
      <c r="G26" s="22" t="s">
        <v>275</v>
      </c>
      <c r="H26" s="18" t="s">
        <v>54</v>
      </c>
      <c r="I26" s="18" t="s">
        <v>57</v>
      </c>
      <c r="J26" s="63" t="s">
        <v>112</v>
      </c>
      <c r="K26" s="18" t="s">
        <v>264</v>
      </c>
      <c r="L26" s="28">
        <v>46296.0</v>
      </c>
      <c r="M26" s="28">
        <v>46299.0</v>
      </c>
      <c r="N26" s="28"/>
      <c r="O26" s="28"/>
      <c r="P26" s="18" t="s">
        <v>66</v>
      </c>
      <c r="Q26" s="35">
        <v>0.0</v>
      </c>
      <c r="R26" s="40">
        <f t="shared" si="1"/>
        <v>40</v>
      </c>
      <c r="S26" s="18">
        <v>12.0</v>
      </c>
      <c r="T26" s="42" t="s">
        <v>278</v>
      </c>
      <c r="U26" s="42" t="s">
        <v>279</v>
      </c>
      <c r="V26" s="42"/>
    </row>
    <row r="27" ht="39.75" customHeight="1">
      <c r="A27" s="44">
        <v>24.0</v>
      </c>
      <c r="B27" s="44" t="s">
        <v>125</v>
      </c>
      <c r="C27" s="81" t="s">
        <v>231</v>
      </c>
      <c r="D27" s="44" t="s">
        <v>79</v>
      </c>
      <c r="E27" s="44" t="s">
        <v>265</v>
      </c>
      <c r="F27" s="47" t="s">
        <v>281</v>
      </c>
      <c r="G27" s="49" t="s">
        <v>282</v>
      </c>
      <c r="H27" s="44" t="s">
        <v>158</v>
      </c>
      <c r="I27" s="44" t="s">
        <v>61</v>
      </c>
      <c r="J27" s="53" t="s">
        <v>60</v>
      </c>
      <c r="K27" s="44" t="s">
        <v>284</v>
      </c>
      <c r="L27" s="54">
        <v>46298.0</v>
      </c>
      <c r="M27" s="54">
        <v>46299.0</v>
      </c>
      <c r="N27" s="54"/>
      <c r="O27" s="54"/>
      <c r="P27" s="44" t="s">
        <v>66</v>
      </c>
      <c r="Q27" s="58">
        <v>0.0</v>
      </c>
      <c r="R27" s="59">
        <f t="shared" si="1"/>
        <v>40</v>
      </c>
      <c r="S27" s="44">
        <v>6.0</v>
      </c>
      <c r="T27" s="60" t="s">
        <v>286</v>
      </c>
      <c r="U27" s="60" t="s">
        <v>287</v>
      </c>
      <c r="V27" s="60"/>
    </row>
    <row r="28" ht="39.75" customHeight="1">
      <c r="A28" s="18">
        <v>25.0</v>
      </c>
      <c r="B28" s="18" t="s">
        <v>288</v>
      </c>
      <c r="C28" s="90" t="s">
        <v>290</v>
      </c>
      <c r="D28" s="18" t="s">
        <v>80</v>
      </c>
      <c r="E28" s="18" t="s">
        <v>292</v>
      </c>
      <c r="F28" s="21" t="s">
        <v>293</v>
      </c>
      <c r="G28" s="22" t="s">
        <v>294</v>
      </c>
      <c r="H28" s="18" t="s">
        <v>114</v>
      </c>
      <c r="I28" s="18" t="s">
        <v>54</v>
      </c>
      <c r="J28" s="63" t="s">
        <v>112</v>
      </c>
      <c r="K28" s="18" t="s">
        <v>61</v>
      </c>
      <c r="L28" s="28">
        <v>46300.0</v>
      </c>
      <c r="M28" s="28">
        <v>46301.0</v>
      </c>
      <c r="N28" s="28"/>
      <c r="O28" s="28"/>
      <c r="P28" s="18" t="s">
        <v>66</v>
      </c>
      <c r="Q28" s="35">
        <v>0.0</v>
      </c>
      <c r="R28" s="40">
        <f t="shared" si="1"/>
        <v>42</v>
      </c>
      <c r="S28" s="18">
        <v>6.0</v>
      </c>
      <c r="T28" s="42" t="s">
        <v>299</v>
      </c>
      <c r="U28" s="42" t="s">
        <v>301</v>
      </c>
      <c r="V28" s="42"/>
    </row>
    <row r="29" ht="39.75" customHeight="1">
      <c r="A29" s="44">
        <v>26.0</v>
      </c>
      <c r="B29" s="44" t="s">
        <v>302</v>
      </c>
      <c r="C29" s="90" t="s">
        <v>290</v>
      </c>
      <c r="D29" s="44" t="s">
        <v>80</v>
      </c>
      <c r="E29" s="44" t="s">
        <v>224</v>
      </c>
      <c r="F29" s="47" t="s">
        <v>303</v>
      </c>
      <c r="G29" s="49" t="s">
        <v>304</v>
      </c>
      <c r="H29" s="44" t="s">
        <v>158</v>
      </c>
      <c r="I29" s="44" t="s">
        <v>61</v>
      </c>
      <c r="J29" s="53" t="s">
        <v>60</v>
      </c>
      <c r="K29" s="44" t="s">
        <v>305</v>
      </c>
      <c r="L29" s="54">
        <v>46302.0</v>
      </c>
      <c r="M29" s="54">
        <v>46305.0</v>
      </c>
      <c r="N29" s="54"/>
      <c r="O29" s="54"/>
      <c r="P29" s="44" t="s">
        <v>66</v>
      </c>
      <c r="Q29" s="58">
        <v>0.0</v>
      </c>
      <c r="R29" s="59">
        <f t="shared" si="1"/>
        <v>46</v>
      </c>
      <c r="S29" s="44">
        <v>12.0</v>
      </c>
      <c r="T29" s="60" t="s">
        <v>306</v>
      </c>
      <c r="U29" s="60" t="s">
        <v>307</v>
      </c>
      <c r="V29" s="60"/>
    </row>
    <row r="30" ht="39.75" customHeight="1">
      <c r="A30" s="18">
        <v>27.0</v>
      </c>
      <c r="B30" s="18" t="s">
        <v>308</v>
      </c>
      <c r="C30" s="90" t="s">
        <v>290</v>
      </c>
      <c r="D30" s="18" t="s">
        <v>80</v>
      </c>
      <c r="E30" s="18" t="s">
        <v>181</v>
      </c>
      <c r="F30" s="21" t="s">
        <v>309</v>
      </c>
      <c r="G30" s="22" t="s">
        <v>310</v>
      </c>
      <c r="H30" s="18" t="s">
        <v>57</v>
      </c>
      <c r="I30" s="18" t="s">
        <v>54</v>
      </c>
      <c r="J30" s="63" t="s">
        <v>112</v>
      </c>
      <c r="K30" s="18" t="s">
        <v>302</v>
      </c>
      <c r="L30" s="28">
        <v>46304.0</v>
      </c>
      <c r="M30" s="28">
        <v>46306.0</v>
      </c>
      <c r="N30" s="28"/>
      <c r="O30" s="28"/>
      <c r="P30" s="18" t="s">
        <v>66</v>
      </c>
      <c r="Q30" s="35">
        <v>0.0</v>
      </c>
      <c r="R30" s="40">
        <f t="shared" si="1"/>
        <v>47</v>
      </c>
      <c r="S30" s="18">
        <v>8.0</v>
      </c>
      <c r="T30" s="42" t="s">
        <v>311</v>
      </c>
      <c r="U30" s="42" t="s">
        <v>312</v>
      </c>
      <c r="V30" s="42"/>
    </row>
    <row r="31" ht="39.75" customHeight="1">
      <c r="A31" s="44">
        <v>28.0</v>
      </c>
      <c r="B31" s="44" t="s">
        <v>313</v>
      </c>
      <c r="C31" s="90" t="s">
        <v>290</v>
      </c>
      <c r="D31" s="44" t="s">
        <v>83</v>
      </c>
      <c r="E31" s="44" t="s">
        <v>61</v>
      </c>
      <c r="F31" s="47" t="s">
        <v>314</v>
      </c>
      <c r="G31" s="49" t="s">
        <v>315</v>
      </c>
      <c r="H31" s="44" t="s">
        <v>57</v>
      </c>
      <c r="I31" s="44" t="s">
        <v>54</v>
      </c>
      <c r="J31" s="53" t="s">
        <v>60</v>
      </c>
      <c r="K31" s="44" t="s">
        <v>316</v>
      </c>
      <c r="L31" s="54">
        <v>46307.0</v>
      </c>
      <c r="M31" s="54">
        <v>46310.0</v>
      </c>
      <c r="N31" s="54"/>
      <c r="O31" s="54"/>
      <c r="P31" s="44" t="s">
        <v>66</v>
      </c>
      <c r="Q31" s="58">
        <v>0.0</v>
      </c>
      <c r="R31" s="59">
        <f t="shared" si="1"/>
        <v>51</v>
      </c>
      <c r="S31" s="44">
        <v>14.0</v>
      </c>
      <c r="T31" s="60" t="s">
        <v>317</v>
      </c>
      <c r="U31" s="60" t="s">
        <v>318</v>
      </c>
      <c r="V31" s="60"/>
    </row>
    <row r="32" ht="39.75" customHeight="1">
      <c r="A32" s="18">
        <v>29.0</v>
      </c>
      <c r="B32" s="18" t="s">
        <v>319</v>
      </c>
      <c r="C32" s="90" t="s">
        <v>290</v>
      </c>
      <c r="D32" s="18" t="s">
        <v>83</v>
      </c>
      <c r="E32" s="18" t="s">
        <v>61</v>
      </c>
      <c r="F32" s="21" t="s">
        <v>320</v>
      </c>
      <c r="G32" s="22" t="s">
        <v>321</v>
      </c>
      <c r="H32" s="18" t="s">
        <v>57</v>
      </c>
      <c r="I32" s="18" t="s">
        <v>54</v>
      </c>
      <c r="J32" s="63" t="s">
        <v>112</v>
      </c>
      <c r="K32" s="18" t="s">
        <v>313</v>
      </c>
      <c r="L32" s="28">
        <v>46309.0</v>
      </c>
      <c r="M32" s="28">
        <v>46312.0</v>
      </c>
      <c r="N32" s="28"/>
      <c r="O32" s="28"/>
      <c r="P32" s="18" t="s">
        <v>66</v>
      </c>
      <c r="Q32" s="35">
        <v>0.0</v>
      </c>
      <c r="R32" s="40">
        <f t="shared" si="1"/>
        <v>53</v>
      </c>
      <c r="S32" s="18">
        <v>12.0</v>
      </c>
      <c r="T32" s="42" t="s">
        <v>322</v>
      </c>
      <c r="U32" s="42" t="s">
        <v>323</v>
      </c>
      <c r="V32" s="42"/>
    </row>
    <row r="33" ht="39.75" customHeight="1">
      <c r="A33" s="44">
        <v>30.0</v>
      </c>
      <c r="B33" s="44" t="s">
        <v>324</v>
      </c>
      <c r="C33" s="90" t="s">
        <v>290</v>
      </c>
      <c r="D33" s="44" t="s">
        <v>83</v>
      </c>
      <c r="E33" s="44" t="s">
        <v>61</v>
      </c>
      <c r="F33" s="47" t="s">
        <v>325</v>
      </c>
      <c r="G33" s="49" t="s">
        <v>326</v>
      </c>
      <c r="H33" s="44" t="s">
        <v>114</v>
      </c>
      <c r="I33" s="44" t="s">
        <v>57</v>
      </c>
      <c r="J33" s="67" t="s">
        <v>112</v>
      </c>
      <c r="K33" s="44" t="s">
        <v>223</v>
      </c>
      <c r="L33" s="54">
        <v>46307.0</v>
      </c>
      <c r="M33" s="54">
        <v>46312.0</v>
      </c>
      <c r="N33" s="54"/>
      <c r="O33" s="54"/>
      <c r="P33" s="44" t="s">
        <v>66</v>
      </c>
      <c r="Q33" s="58">
        <v>0.0</v>
      </c>
      <c r="R33" s="59">
        <f t="shared" si="1"/>
        <v>53</v>
      </c>
      <c r="S33" s="44">
        <v>14.0</v>
      </c>
      <c r="T33" s="60" t="s">
        <v>327</v>
      </c>
      <c r="U33" s="60" t="s">
        <v>328</v>
      </c>
      <c r="V33" s="60"/>
    </row>
    <row r="34" ht="39.75" customHeight="1">
      <c r="A34" s="18">
        <v>31.0</v>
      </c>
      <c r="B34" s="18" t="s">
        <v>167</v>
      </c>
      <c r="C34" s="90" t="s">
        <v>290</v>
      </c>
      <c r="D34" s="18" t="s">
        <v>85</v>
      </c>
      <c r="E34" s="18" t="s">
        <v>61</v>
      </c>
      <c r="F34" s="21" t="s">
        <v>329</v>
      </c>
      <c r="G34" s="22" t="s">
        <v>330</v>
      </c>
      <c r="H34" s="18" t="s">
        <v>158</v>
      </c>
      <c r="I34" s="18" t="s">
        <v>61</v>
      </c>
      <c r="J34" s="26" t="s">
        <v>60</v>
      </c>
      <c r="K34" s="18" t="s">
        <v>331</v>
      </c>
      <c r="L34" s="28">
        <v>46314.0</v>
      </c>
      <c r="M34" s="28">
        <v>46318.0</v>
      </c>
      <c r="N34" s="28"/>
      <c r="O34" s="28"/>
      <c r="P34" s="18" t="s">
        <v>66</v>
      </c>
      <c r="Q34" s="35">
        <v>0.0</v>
      </c>
      <c r="R34" s="40">
        <f t="shared" si="1"/>
        <v>59</v>
      </c>
      <c r="S34" s="18">
        <v>18.0</v>
      </c>
      <c r="T34" s="42" t="s">
        <v>333</v>
      </c>
      <c r="U34" s="92" t="s">
        <v>334</v>
      </c>
      <c r="V34" s="42"/>
    </row>
    <row r="35" ht="39.75" customHeight="1">
      <c r="A35" s="44">
        <v>32.0</v>
      </c>
      <c r="B35" s="44" t="s">
        <v>336</v>
      </c>
      <c r="C35" s="90" t="s">
        <v>290</v>
      </c>
      <c r="D35" s="44" t="s">
        <v>85</v>
      </c>
      <c r="E35" s="44" t="s">
        <v>61</v>
      </c>
      <c r="F35" s="47" t="s">
        <v>340</v>
      </c>
      <c r="G35" s="49" t="s">
        <v>341</v>
      </c>
      <c r="H35" s="44" t="s">
        <v>158</v>
      </c>
      <c r="I35" s="44" t="s">
        <v>61</v>
      </c>
      <c r="J35" s="86" t="s">
        <v>250</v>
      </c>
      <c r="K35" s="44" t="s">
        <v>61</v>
      </c>
      <c r="L35" s="54">
        <v>46314.0</v>
      </c>
      <c r="M35" s="54">
        <v>46320.0</v>
      </c>
      <c r="N35" s="54"/>
      <c r="O35" s="54"/>
      <c r="P35" s="44" t="s">
        <v>66</v>
      </c>
      <c r="Q35" s="58">
        <v>0.0</v>
      </c>
      <c r="R35" s="59">
        <f t="shared" si="1"/>
        <v>61</v>
      </c>
      <c r="S35" s="44">
        <v>12.0</v>
      </c>
      <c r="T35" s="60" t="s">
        <v>342</v>
      </c>
      <c r="U35" s="60" t="s">
        <v>61</v>
      </c>
      <c r="V35" s="60"/>
    </row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autoFilter ref="$A$3:$V$35"/>
  <mergeCells count="2">
    <mergeCell ref="A1:V1"/>
    <mergeCell ref="A2:V2"/>
  </mergeCells>
  <conditionalFormatting sqref="P4:P35">
    <cfRule type="cellIs" dxfId="1" priority="1" operator="equal">
      <formula>"✅ Done"</formula>
    </cfRule>
  </conditionalFormatting>
  <conditionalFormatting sqref="P4:P35">
    <cfRule type="cellIs" dxfId="0" priority="2" operator="equal">
      <formula>"🔴 Blocked"</formula>
    </cfRule>
  </conditionalFormatting>
  <conditionalFormatting sqref="P4:P35">
    <cfRule type="cellIs" dxfId="4" priority="3" operator="equal">
      <formula>"🔵 In Progress"</formula>
    </cfRule>
  </conditionalFormatting>
  <conditionalFormatting sqref="P4:P35">
    <cfRule type="cellIs" dxfId="5" priority="4" operator="equal">
      <formula>"⏰ Overdue"</formula>
    </cfRule>
  </conditionalFormatting>
  <conditionalFormatting sqref="R4:R35">
    <cfRule type="cellIs" dxfId="0" priority="5" operator="lessThanOrEqual">
      <formula>2</formula>
    </cfRule>
  </conditionalFormatting>
  <conditionalFormatting sqref="R4:R35">
    <cfRule type="cellIs" dxfId="6" priority="6" operator="between">
      <formula>3</formula>
      <formula>5</formula>
    </cfRule>
  </conditionalFormatting>
  <dataValidations>
    <dataValidation type="list" allowBlank="1" sqref="P4:P35">
      <formula1>"⬜ Not Started,🔵 In Progress,✅ Done,🔴 Blocked"</formula1>
    </dataValidation>
    <dataValidation type="list" allowBlank="1" sqref="H4:H35">
      <formula1>"Duy,Tuân,Việt Anh,Cả nhóm"</formula1>
    </dataValidation>
    <dataValidation type="list" allowBlank="1" sqref="J4:J35">
      <formula1>"🔴 Critical,🟡 High,🟢 Normal,⚪ Low"</formula1>
    </dataValidation>
    <dataValidation type="list" allowBlank="1" sqref="I4:I35">
      <formula1>"Duy,Tuân,Việt Anh,—"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196F3"/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/>
  <cols>
    <col customWidth="1" min="1" max="1" width="5.0"/>
    <col customWidth="1" min="2" max="2" width="10.0"/>
    <col customWidth="1" min="3" max="3" width="35.0"/>
    <col customWidth="1" min="4" max="4" width="10.0"/>
    <col customWidth="1" min="5" max="67" width="3.0"/>
  </cols>
  <sheetData>
    <row r="1" ht="13.5" customHeight="1">
      <c r="A1" s="1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4"/>
    </row>
    <row r="2" ht="13.5" customHeight="1">
      <c r="A2" s="17" t="s">
        <v>20</v>
      </c>
      <c r="B2" s="17" t="s">
        <v>24</v>
      </c>
      <c r="C2" s="17" t="s">
        <v>49</v>
      </c>
      <c r="D2" s="17" t="s">
        <v>13</v>
      </c>
      <c r="E2" s="25" t="s">
        <v>48</v>
      </c>
      <c r="F2" s="27"/>
      <c r="G2" s="27"/>
      <c r="H2" s="27"/>
      <c r="I2" s="27"/>
      <c r="J2" s="27"/>
      <c r="K2" s="30"/>
      <c r="L2" s="33" t="s">
        <v>64</v>
      </c>
      <c r="M2" s="27"/>
      <c r="N2" s="27"/>
      <c r="O2" s="27"/>
      <c r="P2" s="27"/>
      <c r="Q2" s="27"/>
      <c r="R2" s="30"/>
      <c r="S2" s="36" t="s">
        <v>75</v>
      </c>
      <c r="T2" s="27"/>
      <c r="U2" s="27"/>
      <c r="V2" s="27"/>
      <c r="W2" s="27"/>
      <c r="X2" s="27"/>
      <c r="Y2" s="30"/>
      <c r="Z2" s="38" t="s">
        <v>76</v>
      </c>
      <c r="AA2" s="27"/>
      <c r="AB2" s="27"/>
      <c r="AC2" s="27"/>
      <c r="AD2" s="27"/>
      <c r="AE2" s="27"/>
      <c r="AF2" s="30"/>
      <c r="AG2" s="25" t="s">
        <v>78</v>
      </c>
      <c r="AH2" s="27"/>
      <c r="AI2" s="27"/>
      <c r="AJ2" s="27"/>
      <c r="AK2" s="27"/>
      <c r="AL2" s="27"/>
      <c r="AM2" s="30"/>
      <c r="AN2" s="33" t="s">
        <v>79</v>
      </c>
      <c r="AO2" s="27"/>
      <c r="AP2" s="27"/>
      <c r="AQ2" s="27"/>
      <c r="AR2" s="27"/>
      <c r="AS2" s="27"/>
      <c r="AT2" s="30"/>
      <c r="AU2" s="36" t="s">
        <v>80</v>
      </c>
      <c r="AV2" s="27"/>
      <c r="AW2" s="27"/>
      <c r="AX2" s="27"/>
      <c r="AY2" s="27"/>
      <c r="AZ2" s="27"/>
      <c r="BA2" s="30"/>
      <c r="BB2" s="38" t="s">
        <v>83</v>
      </c>
      <c r="BC2" s="27"/>
      <c r="BD2" s="27"/>
      <c r="BE2" s="27"/>
      <c r="BF2" s="27"/>
      <c r="BG2" s="27"/>
      <c r="BH2" s="30"/>
      <c r="BI2" s="25" t="s">
        <v>85</v>
      </c>
      <c r="BJ2" s="27"/>
      <c r="BK2" s="27"/>
      <c r="BL2" s="27"/>
      <c r="BM2" s="27"/>
      <c r="BN2" s="27"/>
      <c r="BO2" s="30"/>
    </row>
    <row r="3" ht="13.5" customHeight="1">
      <c r="A3" s="48"/>
      <c r="B3" s="48"/>
      <c r="C3" s="48"/>
      <c r="D3" s="48"/>
      <c r="E3" s="50">
        <v>24.0</v>
      </c>
      <c r="F3" s="50">
        <v>25.0</v>
      </c>
      <c r="G3" s="50">
        <v>26.0</v>
      </c>
      <c r="H3" s="50">
        <v>27.0</v>
      </c>
      <c r="I3" s="50">
        <v>28.0</v>
      </c>
      <c r="J3" s="52">
        <v>29.0</v>
      </c>
      <c r="K3" s="52">
        <v>30.0</v>
      </c>
      <c r="L3" s="50">
        <v>31.0</v>
      </c>
      <c r="M3" s="50">
        <v>1.0</v>
      </c>
      <c r="N3" s="50">
        <v>2.0</v>
      </c>
      <c r="O3" s="50">
        <v>3.0</v>
      </c>
      <c r="P3" s="50">
        <v>4.0</v>
      </c>
      <c r="Q3" s="52">
        <v>5.0</v>
      </c>
      <c r="R3" s="52">
        <v>6.0</v>
      </c>
      <c r="S3" s="50">
        <v>7.0</v>
      </c>
      <c r="T3" s="50">
        <v>8.0</v>
      </c>
      <c r="U3" s="50">
        <v>9.0</v>
      </c>
      <c r="V3" s="50">
        <v>10.0</v>
      </c>
      <c r="W3" s="50">
        <v>11.0</v>
      </c>
      <c r="X3" s="52">
        <v>12.0</v>
      </c>
      <c r="Y3" s="52">
        <v>13.0</v>
      </c>
      <c r="Z3" s="50">
        <v>14.0</v>
      </c>
      <c r="AA3" s="50">
        <v>15.0</v>
      </c>
      <c r="AB3" s="50">
        <v>16.0</v>
      </c>
      <c r="AC3" s="50">
        <v>17.0</v>
      </c>
      <c r="AD3" s="50">
        <v>18.0</v>
      </c>
      <c r="AE3" s="52">
        <v>19.0</v>
      </c>
      <c r="AF3" s="52">
        <v>20.0</v>
      </c>
      <c r="AG3" s="50">
        <v>21.0</v>
      </c>
      <c r="AH3" s="50">
        <v>22.0</v>
      </c>
      <c r="AI3" s="50">
        <v>23.0</v>
      </c>
      <c r="AJ3" s="50">
        <v>24.0</v>
      </c>
      <c r="AK3" s="50">
        <v>25.0</v>
      </c>
      <c r="AL3" s="52">
        <v>26.0</v>
      </c>
      <c r="AM3" s="52">
        <v>27.0</v>
      </c>
      <c r="AN3" s="50">
        <v>28.0</v>
      </c>
      <c r="AO3" s="50">
        <v>29.0</v>
      </c>
      <c r="AP3" s="50">
        <v>30.0</v>
      </c>
      <c r="AQ3" s="50">
        <v>1.0</v>
      </c>
      <c r="AR3" s="50">
        <v>2.0</v>
      </c>
      <c r="AS3" s="52">
        <v>3.0</v>
      </c>
      <c r="AT3" s="52">
        <v>4.0</v>
      </c>
      <c r="AU3" s="50">
        <v>5.0</v>
      </c>
      <c r="AV3" s="50">
        <v>6.0</v>
      </c>
      <c r="AW3" s="50">
        <v>7.0</v>
      </c>
      <c r="AX3" s="50">
        <v>8.0</v>
      </c>
      <c r="AY3" s="50">
        <v>9.0</v>
      </c>
      <c r="AZ3" s="52">
        <v>10.0</v>
      </c>
      <c r="BA3" s="52">
        <v>11.0</v>
      </c>
      <c r="BB3" s="50">
        <v>12.0</v>
      </c>
      <c r="BC3" s="50">
        <v>13.0</v>
      </c>
      <c r="BD3" s="50">
        <v>14.0</v>
      </c>
      <c r="BE3" s="50">
        <v>15.0</v>
      </c>
      <c r="BF3" s="50">
        <v>16.0</v>
      </c>
      <c r="BG3" s="52">
        <v>17.0</v>
      </c>
      <c r="BH3" s="52">
        <v>18.0</v>
      </c>
      <c r="BI3" s="50">
        <v>19.0</v>
      </c>
      <c r="BJ3" s="50">
        <v>20.0</v>
      </c>
      <c r="BK3" s="50">
        <v>21.0</v>
      </c>
      <c r="BL3" s="50">
        <v>22.0</v>
      </c>
      <c r="BM3" s="50">
        <v>23.0</v>
      </c>
      <c r="BN3" s="52">
        <v>24.0</v>
      </c>
      <c r="BO3" s="52">
        <v>25.0</v>
      </c>
    </row>
    <row r="4" ht="21.75" customHeight="1">
      <c r="A4" s="61">
        <v>1.0</v>
      </c>
      <c r="B4" s="61" t="s">
        <v>46</v>
      </c>
      <c r="C4" s="62" t="s">
        <v>51</v>
      </c>
      <c r="D4" s="64" t="s">
        <v>54</v>
      </c>
      <c r="E4" s="75"/>
      <c r="F4" s="75"/>
      <c r="G4" s="75"/>
      <c r="H4" s="75"/>
      <c r="I4" s="77"/>
      <c r="J4" s="78"/>
      <c r="K4" s="78"/>
      <c r="L4" s="77"/>
      <c r="M4" s="77"/>
      <c r="N4" s="77"/>
      <c r="O4" s="77"/>
      <c r="P4" s="77"/>
      <c r="Q4" s="78"/>
      <c r="R4" s="78"/>
      <c r="S4" s="77"/>
      <c r="T4" s="77"/>
      <c r="U4" s="77"/>
      <c r="V4" s="77"/>
      <c r="W4" s="77"/>
      <c r="X4" s="78"/>
      <c r="Y4" s="78"/>
      <c r="Z4" s="77"/>
      <c r="AA4" s="77"/>
      <c r="AB4" s="77"/>
      <c r="AC4" s="77"/>
      <c r="AD4" s="77"/>
      <c r="AE4" s="78"/>
      <c r="AF4" s="78"/>
      <c r="AG4" s="77"/>
      <c r="AH4" s="77"/>
      <c r="AI4" s="77"/>
      <c r="AJ4" s="77"/>
      <c r="AK4" s="77"/>
      <c r="AL4" s="78"/>
      <c r="AM4" s="78"/>
      <c r="AN4" s="77"/>
      <c r="AO4" s="77"/>
      <c r="AP4" s="77"/>
      <c r="AQ4" s="77"/>
      <c r="AR4" s="77"/>
      <c r="AS4" s="78"/>
      <c r="AT4" s="78"/>
      <c r="AU4" s="77"/>
      <c r="AV4" s="77"/>
      <c r="AW4" s="77"/>
      <c r="AX4" s="77"/>
      <c r="AY4" s="77"/>
      <c r="AZ4" s="78"/>
      <c r="BA4" s="78"/>
      <c r="BB4" s="77"/>
      <c r="BC4" s="77"/>
      <c r="BD4" s="77"/>
      <c r="BE4" s="77"/>
      <c r="BF4" s="77"/>
      <c r="BG4" s="78"/>
      <c r="BH4" s="78"/>
      <c r="BI4" s="77"/>
      <c r="BJ4" s="77"/>
      <c r="BK4" s="77"/>
      <c r="BL4" s="77"/>
      <c r="BM4" s="77"/>
      <c r="BN4" s="78"/>
      <c r="BO4" s="78"/>
    </row>
    <row r="5" ht="21.75" customHeight="1">
      <c r="A5" s="83">
        <v>2.0</v>
      </c>
      <c r="B5" s="83" t="s">
        <v>86</v>
      </c>
      <c r="C5" s="85" t="s">
        <v>89</v>
      </c>
      <c r="D5" s="87" t="s">
        <v>54</v>
      </c>
      <c r="E5" s="77"/>
      <c r="F5" s="77"/>
      <c r="G5" s="75"/>
      <c r="H5" s="75"/>
      <c r="I5" s="75"/>
      <c r="J5" s="75"/>
      <c r="K5" s="75"/>
      <c r="L5" s="77"/>
      <c r="M5" s="77"/>
      <c r="N5" s="77"/>
      <c r="O5" s="77"/>
      <c r="P5" s="77"/>
      <c r="Q5" s="78"/>
      <c r="R5" s="78"/>
      <c r="S5" s="77"/>
      <c r="T5" s="77"/>
      <c r="U5" s="77"/>
      <c r="V5" s="77"/>
      <c r="W5" s="77"/>
      <c r="X5" s="78"/>
      <c r="Y5" s="78"/>
      <c r="Z5" s="77"/>
      <c r="AA5" s="77"/>
      <c r="AB5" s="77"/>
      <c r="AC5" s="77"/>
      <c r="AD5" s="77"/>
      <c r="AE5" s="78"/>
      <c r="AF5" s="78"/>
      <c r="AG5" s="77"/>
      <c r="AH5" s="77"/>
      <c r="AI5" s="77"/>
      <c r="AJ5" s="77"/>
      <c r="AK5" s="77"/>
      <c r="AL5" s="78"/>
      <c r="AM5" s="78"/>
      <c r="AN5" s="77"/>
      <c r="AO5" s="77"/>
      <c r="AP5" s="77"/>
      <c r="AQ5" s="77"/>
      <c r="AR5" s="77"/>
      <c r="AS5" s="78"/>
      <c r="AT5" s="78"/>
      <c r="AU5" s="77"/>
      <c r="AV5" s="77"/>
      <c r="AW5" s="77"/>
      <c r="AX5" s="77"/>
      <c r="AY5" s="77"/>
      <c r="AZ5" s="78"/>
      <c r="BA5" s="78"/>
      <c r="BB5" s="77"/>
      <c r="BC5" s="77"/>
      <c r="BD5" s="77"/>
      <c r="BE5" s="77"/>
      <c r="BF5" s="77"/>
      <c r="BG5" s="78"/>
      <c r="BH5" s="78"/>
      <c r="BI5" s="77"/>
      <c r="BJ5" s="77"/>
      <c r="BK5" s="77"/>
      <c r="BL5" s="77"/>
      <c r="BM5" s="77"/>
      <c r="BN5" s="78"/>
      <c r="BO5" s="78"/>
    </row>
    <row r="6" ht="21.75" customHeight="1">
      <c r="A6" s="61">
        <v>3.0</v>
      </c>
      <c r="B6" s="61" t="s">
        <v>105</v>
      </c>
      <c r="C6" s="62" t="s">
        <v>107</v>
      </c>
      <c r="D6" s="64" t="s">
        <v>57</v>
      </c>
      <c r="E6" s="75"/>
      <c r="F6" s="75"/>
      <c r="G6" s="75"/>
      <c r="H6" s="75"/>
      <c r="I6" s="75"/>
      <c r="J6" s="78"/>
      <c r="K6" s="78"/>
      <c r="L6" s="77"/>
      <c r="M6" s="77"/>
      <c r="N6" s="77"/>
      <c r="O6" s="77"/>
      <c r="P6" s="77"/>
      <c r="Q6" s="78"/>
      <c r="R6" s="78"/>
      <c r="S6" s="77"/>
      <c r="T6" s="77"/>
      <c r="U6" s="77"/>
      <c r="V6" s="77"/>
      <c r="W6" s="77"/>
      <c r="X6" s="78"/>
      <c r="Y6" s="78"/>
      <c r="Z6" s="77"/>
      <c r="AA6" s="77"/>
      <c r="AB6" s="77"/>
      <c r="AC6" s="77"/>
      <c r="AD6" s="77"/>
      <c r="AE6" s="78"/>
      <c r="AF6" s="78"/>
      <c r="AG6" s="77"/>
      <c r="AH6" s="77"/>
      <c r="AI6" s="77"/>
      <c r="AJ6" s="77"/>
      <c r="AK6" s="77"/>
      <c r="AL6" s="78"/>
      <c r="AM6" s="78"/>
      <c r="AN6" s="77"/>
      <c r="AO6" s="77"/>
      <c r="AP6" s="77"/>
      <c r="AQ6" s="77"/>
      <c r="AR6" s="77"/>
      <c r="AS6" s="78"/>
      <c r="AT6" s="78"/>
      <c r="AU6" s="77"/>
      <c r="AV6" s="77"/>
      <c r="AW6" s="77"/>
      <c r="AX6" s="77"/>
      <c r="AY6" s="77"/>
      <c r="AZ6" s="78"/>
      <c r="BA6" s="78"/>
      <c r="BB6" s="77"/>
      <c r="BC6" s="77"/>
      <c r="BD6" s="77"/>
      <c r="BE6" s="77"/>
      <c r="BF6" s="77"/>
      <c r="BG6" s="78"/>
      <c r="BH6" s="78"/>
      <c r="BI6" s="77"/>
      <c r="BJ6" s="77"/>
      <c r="BK6" s="77"/>
      <c r="BL6" s="77"/>
      <c r="BM6" s="77"/>
      <c r="BN6" s="78"/>
      <c r="BO6" s="78"/>
    </row>
    <row r="7" ht="21.75" customHeight="1">
      <c r="A7" s="83">
        <v>4.0</v>
      </c>
      <c r="B7" s="83" t="s">
        <v>119</v>
      </c>
      <c r="C7" s="85" t="s">
        <v>121</v>
      </c>
      <c r="D7" s="87" t="s">
        <v>114</v>
      </c>
      <c r="E7" s="75"/>
      <c r="F7" s="75"/>
      <c r="G7" s="75"/>
      <c r="H7" s="75"/>
      <c r="I7" s="77"/>
      <c r="J7" s="78"/>
      <c r="K7" s="78"/>
      <c r="L7" s="77"/>
      <c r="M7" s="77"/>
      <c r="N7" s="77"/>
      <c r="O7" s="77"/>
      <c r="P7" s="77"/>
      <c r="Q7" s="78"/>
      <c r="R7" s="78"/>
      <c r="S7" s="77"/>
      <c r="T7" s="77"/>
      <c r="U7" s="77"/>
      <c r="V7" s="77"/>
      <c r="W7" s="77"/>
      <c r="X7" s="78"/>
      <c r="Y7" s="78"/>
      <c r="Z7" s="77"/>
      <c r="AA7" s="77"/>
      <c r="AB7" s="77"/>
      <c r="AC7" s="77"/>
      <c r="AD7" s="77"/>
      <c r="AE7" s="78"/>
      <c r="AF7" s="78"/>
      <c r="AG7" s="77"/>
      <c r="AH7" s="77"/>
      <c r="AI7" s="77"/>
      <c r="AJ7" s="77"/>
      <c r="AK7" s="77"/>
      <c r="AL7" s="78"/>
      <c r="AM7" s="78"/>
      <c r="AN7" s="77"/>
      <c r="AO7" s="77"/>
      <c r="AP7" s="77"/>
      <c r="AQ7" s="77"/>
      <c r="AR7" s="77"/>
      <c r="AS7" s="78"/>
      <c r="AT7" s="78"/>
      <c r="AU7" s="77"/>
      <c r="AV7" s="77"/>
      <c r="AW7" s="77"/>
      <c r="AX7" s="77"/>
      <c r="AY7" s="77"/>
      <c r="AZ7" s="78"/>
      <c r="BA7" s="78"/>
      <c r="BB7" s="77"/>
      <c r="BC7" s="77"/>
      <c r="BD7" s="77"/>
      <c r="BE7" s="77"/>
      <c r="BF7" s="77"/>
      <c r="BG7" s="78"/>
      <c r="BH7" s="78"/>
      <c r="BI7" s="77"/>
      <c r="BJ7" s="77"/>
      <c r="BK7" s="77"/>
      <c r="BL7" s="77"/>
      <c r="BM7" s="77"/>
      <c r="BN7" s="78"/>
      <c r="BO7" s="78"/>
    </row>
    <row r="8" ht="21.75" customHeight="1">
      <c r="A8" s="61">
        <v>5.0</v>
      </c>
      <c r="B8" s="61" t="s">
        <v>130</v>
      </c>
      <c r="C8" s="62" t="s">
        <v>131</v>
      </c>
      <c r="D8" s="64" t="s">
        <v>54</v>
      </c>
      <c r="E8" s="77"/>
      <c r="F8" s="77"/>
      <c r="G8" s="77"/>
      <c r="H8" s="77"/>
      <c r="I8" s="77"/>
      <c r="J8" s="78"/>
      <c r="K8" s="78"/>
      <c r="L8" s="75"/>
      <c r="M8" s="75"/>
      <c r="N8" s="75"/>
      <c r="O8" s="75"/>
      <c r="P8" s="77"/>
      <c r="Q8" s="78"/>
      <c r="R8" s="78"/>
      <c r="S8" s="77"/>
      <c r="T8" s="77"/>
      <c r="U8" s="77"/>
      <c r="V8" s="77"/>
      <c r="W8" s="77"/>
      <c r="X8" s="78"/>
      <c r="Y8" s="78"/>
      <c r="Z8" s="77"/>
      <c r="AA8" s="77"/>
      <c r="AB8" s="77"/>
      <c r="AC8" s="77"/>
      <c r="AD8" s="77"/>
      <c r="AE8" s="78"/>
      <c r="AF8" s="78"/>
      <c r="AG8" s="77"/>
      <c r="AH8" s="77"/>
      <c r="AI8" s="77"/>
      <c r="AJ8" s="77"/>
      <c r="AK8" s="77"/>
      <c r="AL8" s="78"/>
      <c r="AM8" s="78"/>
      <c r="AN8" s="77"/>
      <c r="AO8" s="77"/>
      <c r="AP8" s="77"/>
      <c r="AQ8" s="77"/>
      <c r="AR8" s="77"/>
      <c r="AS8" s="78"/>
      <c r="AT8" s="78"/>
      <c r="AU8" s="77"/>
      <c r="AV8" s="77"/>
      <c r="AW8" s="77"/>
      <c r="AX8" s="77"/>
      <c r="AY8" s="77"/>
      <c r="AZ8" s="78"/>
      <c r="BA8" s="78"/>
      <c r="BB8" s="77"/>
      <c r="BC8" s="77"/>
      <c r="BD8" s="77"/>
      <c r="BE8" s="77"/>
      <c r="BF8" s="77"/>
      <c r="BG8" s="78"/>
      <c r="BH8" s="78"/>
      <c r="BI8" s="77"/>
      <c r="BJ8" s="77"/>
      <c r="BK8" s="77"/>
      <c r="BL8" s="77"/>
      <c r="BM8" s="77"/>
      <c r="BN8" s="78"/>
      <c r="BO8" s="78"/>
    </row>
    <row r="9" ht="21.75" customHeight="1">
      <c r="A9" s="83">
        <v>6.0</v>
      </c>
      <c r="B9" s="83" t="s">
        <v>140</v>
      </c>
      <c r="C9" s="85" t="s">
        <v>143</v>
      </c>
      <c r="D9" s="87" t="s">
        <v>57</v>
      </c>
      <c r="E9" s="77"/>
      <c r="F9" s="77"/>
      <c r="G9" s="77"/>
      <c r="H9" s="77"/>
      <c r="I9" s="77"/>
      <c r="J9" s="78"/>
      <c r="K9" s="78"/>
      <c r="L9" s="75"/>
      <c r="M9" s="75"/>
      <c r="N9" s="75"/>
      <c r="O9" s="75"/>
      <c r="P9" s="75"/>
      <c r="Q9" s="75"/>
      <c r="R9" s="78"/>
      <c r="S9" s="77"/>
      <c r="T9" s="77"/>
      <c r="U9" s="77"/>
      <c r="V9" s="77"/>
      <c r="W9" s="77"/>
      <c r="X9" s="78"/>
      <c r="Y9" s="78"/>
      <c r="Z9" s="77"/>
      <c r="AA9" s="77"/>
      <c r="AB9" s="77"/>
      <c r="AC9" s="77"/>
      <c r="AD9" s="77"/>
      <c r="AE9" s="78"/>
      <c r="AF9" s="78"/>
      <c r="AG9" s="77"/>
      <c r="AH9" s="77"/>
      <c r="AI9" s="77"/>
      <c r="AJ9" s="77"/>
      <c r="AK9" s="77"/>
      <c r="AL9" s="78"/>
      <c r="AM9" s="78"/>
      <c r="AN9" s="77"/>
      <c r="AO9" s="77"/>
      <c r="AP9" s="77"/>
      <c r="AQ9" s="77"/>
      <c r="AR9" s="77"/>
      <c r="AS9" s="78"/>
      <c r="AT9" s="78"/>
      <c r="AU9" s="77"/>
      <c r="AV9" s="77"/>
      <c r="AW9" s="77"/>
      <c r="AX9" s="77"/>
      <c r="AY9" s="77"/>
      <c r="AZ9" s="78"/>
      <c r="BA9" s="78"/>
      <c r="BB9" s="77"/>
      <c r="BC9" s="77"/>
      <c r="BD9" s="77"/>
      <c r="BE9" s="77"/>
      <c r="BF9" s="77"/>
      <c r="BG9" s="78"/>
      <c r="BH9" s="78"/>
      <c r="BI9" s="77"/>
      <c r="BJ9" s="77"/>
      <c r="BK9" s="77"/>
      <c r="BL9" s="77"/>
      <c r="BM9" s="77"/>
      <c r="BN9" s="78"/>
      <c r="BO9" s="78"/>
    </row>
    <row r="10" ht="21.75" customHeight="1">
      <c r="A10" s="61">
        <v>7.0</v>
      </c>
      <c r="B10" s="61" t="s">
        <v>147</v>
      </c>
      <c r="C10" s="62" t="s">
        <v>149</v>
      </c>
      <c r="D10" s="64" t="s">
        <v>114</v>
      </c>
      <c r="E10" s="77"/>
      <c r="F10" s="77"/>
      <c r="G10" s="77"/>
      <c r="H10" s="77"/>
      <c r="I10" s="77"/>
      <c r="J10" s="78"/>
      <c r="K10" s="78"/>
      <c r="L10" s="75"/>
      <c r="M10" s="75"/>
      <c r="N10" s="75"/>
      <c r="O10" s="75"/>
      <c r="P10" s="75"/>
      <c r="Q10" s="75"/>
      <c r="R10" s="78"/>
      <c r="S10" s="77"/>
      <c r="T10" s="77"/>
      <c r="U10" s="77"/>
      <c r="V10" s="77"/>
      <c r="W10" s="77"/>
      <c r="X10" s="78"/>
      <c r="Y10" s="78"/>
      <c r="Z10" s="77"/>
      <c r="AA10" s="77"/>
      <c r="AB10" s="77"/>
      <c r="AC10" s="77"/>
      <c r="AD10" s="77"/>
      <c r="AE10" s="78"/>
      <c r="AF10" s="78"/>
      <c r="AG10" s="77"/>
      <c r="AH10" s="77"/>
      <c r="AI10" s="77"/>
      <c r="AJ10" s="77"/>
      <c r="AK10" s="77"/>
      <c r="AL10" s="78"/>
      <c r="AM10" s="78"/>
      <c r="AN10" s="77"/>
      <c r="AO10" s="77"/>
      <c r="AP10" s="77"/>
      <c r="AQ10" s="77"/>
      <c r="AR10" s="77"/>
      <c r="AS10" s="78"/>
      <c r="AT10" s="78"/>
      <c r="AU10" s="77"/>
      <c r="AV10" s="77"/>
      <c r="AW10" s="77"/>
      <c r="AX10" s="77"/>
      <c r="AY10" s="77"/>
      <c r="AZ10" s="78"/>
      <c r="BA10" s="78"/>
      <c r="BB10" s="77"/>
      <c r="BC10" s="77"/>
      <c r="BD10" s="77"/>
      <c r="BE10" s="77"/>
      <c r="BF10" s="77"/>
      <c r="BG10" s="78"/>
      <c r="BH10" s="78"/>
      <c r="BI10" s="77"/>
      <c r="BJ10" s="77"/>
      <c r="BK10" s="77"/>
      <c r="BL10" s="77"/>
      <c r="BM10" s="77"/>
      <c r="BN10" s="78"/>
      <c r="BO10" s="78"/>
    </row>
    <row r="11" ht="21.75" customHeight="1">
      <c r="A11" s="83">
        <v>8.0</v>
      </c>
      <c r="B11" s="83" t="s">
        <v>153</v>
      </c>
      <c r="C11" s="85" t="s">
        <v>156</v>
      </c>
      <c r="D11" s="87" t="s">
        <v>158</v>
      </c>
      <c r="E11" s="77"/>
      <c r="F11" s="77"/>
      <c r="G11" s="77"/>
      <c r="H11" s="77"/>
      <c r="I11" s="77"/>
      <c r="J11" s="78"/>
      <c r="K11" s="78"/>
      <c r="L11" s="77"/>
      <c r="M11" s="77"/>
      <c r="N11" s="75"/>
      <c r="O11" s="75"/>
      <c r="P11" s="77"/>
      <c r="Q11" s="78"/>
      <c r="R11" s="78"/>
      <c r="S11" s="77"/>
      <c r="T11" s="77"/>
      <c r="U11" s="77"/>
      <c r="V11" s="77"/>
      <c r="W11" s="77"/>
      <c r="X11" s="78"/>
      <c r="Y11" s="78"/>
      <c r="Z11" s="77"/>
      <c r="AA11" s="77"/>
      <c r="AB11" s="77"/>
      <c r="AC11" s="77"/>
      <c r="AD11" s="77"/>
      <c r="AE11" s="78"/>
      <c r="AF11" s="78"/>
      <c r="AG11" s="77"/>
      <c r="AH11" s="77"/>
      <c r="AI11" s="77"/>
      <c r="AJ11" s="77"/>
      <c r="AK11" s="77"/>
      <c r="AL11" s="78"/>
      <c r="AM11" s="78"/>
      <c r="AN11" s="77"/>
      <c r="AO11" s="77"/>
      <c r="AP11" s="77"/>
      <c r="AQ11" s="77"/>
      <c r="AR11" s="77"/>
      <c r="AS11" s="78"/>
      <c r="AT11" s="78"/>
      <c r="AU11" s="77"/>
      <c r="AV11" s="77"/>
      <c r="AW11" s="77"/>
      <c r="AX11" s="77"/>
      <c r="AY11" s="77"/>
      <c r="AZ11" s="78"/>
      <c r="BA11" s="78"/>
      <c r="BB11" s="77"/>
      <c r="BC11" s="77"/>
      <c r="BD11" s="77"/>
      <c r="BE11" s="77"/>
      <c r="BF11" s="77"/>
      <c r="BG11" s="78"/>
      <c r="BH11" s="78"/>
      <c r="BI11" s="77"/>
      <c r="BJ11" s="77"/>
      <c r="BK11" s="77"/>
      <c r="BL11" s="77"/>
      <c r="BM11" s="77"/>
      <c r="BN11" s="78"/>
      <c r="BO11" s="78"/>
    </row>
    <row r="12" ht="21.75" customHeight="1">
      <c r="A12" s="61">
        <v>9.0</v>
      </c>
      <c r="B12" s="61" t="s">
        <v>166</v>
      </c>
      <c r="C12" s="62" t="s">
        <v>173</v>
      </c>
      <c r="D12" s="64" t="s">
        <v>57</v>
      </c>
      <c r="E12" s="77"/>
      <c r="F12" s="77"/>
      <c r="G12" s="77"/>
      <c r="H12" s="77"/>
      <c r="I12" s="77"/>
      <c r="J12" s="78"/>
      <c r="K12" s="78"/>
      <c r="L12" s="77"/>
      <c r="M12" s="77"/>
      <c r="N12" s="77"/>
      <c r="O12" s="77"/>
      <c r="P12" s="77"/>
      <c r="Q12" s="78"/>
      <c r="R12" s="78"/>
      <c r="S12" s="93"/>
      <c r="T12" s="93"/>
      <c r="U12" s="93"/>
      <c r="V12" s="93"/>
      <c r="W12" s="93"/>
      <c r="X12" s="78"/>
      <c r="Y12" s="78"/>
      <c r="Z12" s="77"/>
      <c r="AA12" s="77"/>
      <c r="AB12" s="77"/>
      <c r="AC12" s="77"/>
      <c r="AD12" s="77"/>
      <c r="AE12" s="78"/>
      <c r="AF12" s="78"/>
      <c r="AG12" s="77"/>
      <c r="AH12" s="77"/>
      <c r="AI12" s="77"/>
      <c r="AJ12" s="77"/>
      <c r="AK12" s="77"/>
      <c r="AL12" s="78"/>
      <c r="AM12" s="78"/>
      <c r="AN12" s="77"/>
      <c r="AO12" s="77"/>
      <c r="AP12" s="77"/>
      <c r="AQ12" s="77"/>
      <c r="AR12" s="77"/>
      <c r="AS12" s="78"/>
      <c r="AT12" s="78"/>
      <c r="AU12" s="77"/>
      <c r="AV12" s="77"/>
      <c r="AW12" s="77"/>
      <c r="AX12" s="77"/>
      <c r="AY12" s="77"/>
      <c r="AZ12" s="78"/>
      <c r="BA12" s="78"/>
      <c r="BB12" s="77"/>
      <c r="BC12" s="77"/>
      <c r="BD12" s="77"/>
      <c r="BE12" s="77"/>
      <c r="BF12" s="77"/>
      <c r="BG12" s="78"/>
      <c r="BH12" s="78"/>
      <c r="BI12" s="77"/>
      <c r="BJ12" s="77"/>
      <c r="BK12" s="77"/>
      <c r="BL12" s="77"/>
      <c r="BM12" s="77"/>
      <c r="BN12" s="78"/>
      <c r="BO12" s="78"/>
    </row>
    <row r="13" ht="21.75" customHeight="1">
      <c r="A13" s="83">
        <v>10.0</v>
      </c>
      <c r="B13" s="83" t="s">
        <v>180</v>
      </c>
      <c r="C13" s="85" t="s">
        <v>182</v>
      </c>
      <c r="D13" s="87" t="s">
        <v>57</v>
      </c>
      <c r="E13" s="77"/>
      <c r="F13" s="77"/>
      <c r="G13" s="77"/>
      <c r="H13" s="77"/>
      <c r="I13" s="77"/>
      <c r="J13" s="78"/>
      <c r="K13" s="78"/>
      <c r="L13" s="77"/>
      <c r="M13" s="77"/>
      <c r="N13" s="77"/>
      <c r="O13" s="77"/>
      <c r="P13" s="77"/>
      <c r="Q13" s="78"/>
      <c r="R13" s="78"/>
      <c r="S13" s="77"/>
      <c r="T13" s="77"/>
      <c r="U13" s="77"/>
      <c r="V13" s="93"/>
      <c r="W13" s="93"/>
      <c r="X13" s="93"/>
      <c r="Y13" s="93"/>
      <c r="Z13" s="77"/>
      <c r="AA13" s="77"/>
      <c r="AB13" s="77"/>
      <c r="AC13" s="77"/>
      <c r="AD13" s="77"/>
      <c r="AE13" s="78"/>
      <c r="AF13" s="78"/>
      <c r="AG13" s="77"/>
      <c r="AH13" s="77"/>
      <c r="AI13" s="77"/>
      <c r="AJ13" s="77"/>
      <c r="AK13" s="77"/>
      <c r="AL13" s="78"/>
      <c r="AM13" s="78"/>
      <c r="AN13" s="77"/>
      <c r="AO13" s="77"/>
      <c r="AP13" s="77"/>
      <c r="AQ13" s="77"/>
      <c r="AR13" s="77"/>
      <c r="AS13" s="78"/>
      <c r="AT13" s="78"/>
      <c r="AU13" s="77"/>
      <c r="AV13" s="77"/>
      <c r="AW13" s="77"/>
      <c r="AX13" s="77"/>
      <c r="AY13" s="77"/>
      <c r="AZ13" s="78"/>
      <c r="BA13" s="78"/>
      <c r="BB13" s="77"/>
      <c r="BC13" s="77"/>
      <c r="BD13" s="77"/>
      <c r="BE13" s="77"/>
      <c r="BF13" s="77"/>
      <c r="BG13" s="78"/>
      <c r="BH13" s="78"/>
      <c r="BI13" s="77"/>
      <c r="BJ13" s="77"/>
      <c r="BK13" s="77"/>
      <c r="BL13" s="77"/>
      <c r="BM13" s="77"/>
      <c r="BN13" s="78"/>
      <c r="BO13" s="78"/>
    </row>
    <row r="14" ht="21.75" customHeight="1">
      <c r="A14" s="61">
        <v>11.0</v>
      </c>
      <c r="B14" s="61" t="s">
        <v>190</v>
      </c>
      <c r="C14" s="62" t="s">
        <v>192</v>
      </c>
      <c r="D14" s="64" t="s">
        <v>54</v>
      </c>
      <c r="E14" s="77"/>
      <c r="F14" s="77"/>
      <c r="G14" s="77"/>
      <c r="H14" s="77"/>
      <c r="I14" s="77"/>
      <c r="J14" s="78"/>
      <c r="K14" s="78"/>
      <c r="L14" s="77"/>
      <c r="M14" s="77"/>
      <c r="N14" s="77"/>
      <c r="O14" s="77"/>
      <c r="P14" s="77"/>
      <c r="Q14" s="78"/>
      <c r="R14" s="78"/>
      <c r="S14" s="93"/>
      <c r="T14" s="93"/>
      <c r="U14" s="93"/>
      <c r="V14" s="93"/>
      <c r="W14" s="93"/>
      <c r="X14" s="93"/>
      <c r="Y14" s="78"/>
      <c r="Z14" s="77"/>
      <c r="AA14" s="77"/>
      <c r="AB14" s="77"/>
      <c r="AC14" s="77"/>
      <c r="AD14" s="77"/>
      <c r="AE14" s="78"/>
      <c r="AF14" s="78"/>
      <c r="AG14" s="77"/>
      <c r="AH14" s="77"/>
      <c r="AI14" s="77"/>
      <c r="AJ14" s="77"/>
      <c r="AK14" s="77"/>
      <c r="AL14" s="78"/>
      <c r="AM14" s="78"/>
      <c r="AN14" s="77"/>
      <c r="AO14" s="77"/>
      <c r="AP14" s="77"/>
      <c r="AQ14" s="77"/>
      <c r="AR14" s="77"/>
      <c r="AS14" s="78"/>
      <c r="AT14" s="78"/>
      <c r="AU14" s="77"/>
      <c r="AV14" s="77"/>
      <c r="AW14" s="77"/>
      <c r="AX14" s="77"/>
      <c r="AY14" s="77"/>
      <c r="AZ14" s="78"/>
      <c r="BA14" s="78"/>
      <c r="BB14" s="77"/>
      <c r="BC14" s="77"/>
      <c r="BD14" s="77"/>
      <c r="BE14" s="77"/>
      <c r="BF14" s="77"/>
      <c r="BG14" s="78"/>
      <c r="BH14" s="78"/>
      <c r="BI14" s="77"/>
      <c r="BJ14" s="77"/>
      <c r="BK14" s="77"/>
      <c r="BL14" s="77"/>
      <c r="BM14" s="77"/>
      <c r="BN14" s="78"/>
      <c r="BO14" s="78"/>
    </row>
    <row r="15" ht="21.75" customHeight="1">
      <c r="A15" s="83">
        <v>12.0</v>
      </c>
      <c r="B15" s="83" t="s">
        <v>196</v>
      </c>
      <c r="C15" s="85" t="s">
        <v>198</v>
      </c>
      <c r="D15" s="87" t="s">
        <v>114</v>
      </c>
      <c r="E15" s="77"/>
      <c r="F15" s="77"/>
      <c r="G15" s="77"/>
      <c r="H15" s="77"/>
      <c r="I15" s="77"/>
      <c r="J15" s="78"/>
      <c r="K15" s="78"/>
      <c r="L15" s="77"/>
      <c r="M15" s="77"/>
      <c r="N15" s="77"/>
      <c r="O15" s="77"/>
      <c r="P15" s="77"/>
      <c r="Q15" s="78"/>
      <c r="R15" s="78"/>
      <c r="S15" s="93"/>
      <c r="T15" s="93"/>
      <c r="U15" s="93"/>
      <c r="V15" s="93"/>
      <c r="W15" s="93"/>
      <c r="X15" s="78"/>
      <c r="Y15" s="78"/>
      <c r="Z15" s="77"/>
      <c r="AA15" s="77"/>
      <c r="AB15" s="77"/>
      <c r="AC15" s="77"/>
      <c r="AD15" s="77"/>
      <c r="AE15" s="78"/>
      <c r="AF15" s="78"/>
      <c r="AG15" s="77"/>
      <c r="AH15" s="77"/>
      <c r="AI15" s="77"/>
      <c r="AJ15" s="77"/>
      <c r="AK15" s="77"/>
      <c r="AL15" s="78"/>
      <c r="AM15" s="78"/>
      <c r="AN15" s="77"/>
      <c r="AO15" s="77"/>
      <c r="AP15" s="77"/>
      <c r="AQ15" s="77"/>
      <c r="AR15" s="77"/>
      <c r="AS15" s="78"/>
      <c r="AT15" s="78"/>
      <c r="AU15" s="77"/>
      <c r="AV15" s="77"/>
      <c r="AW15" s="77"/>
      <c r="AX15" s="77"/>
      <c r="AY15" s="77"/>
      <c r="AZ15" s="78"/>
      <c r="BA15" s="78"/>
      <c r="BB15" s="77"/>
      <c r="BC15" s="77"/>
      <c r="BD15" s="77"/>
      <c r="BE15" s="77"/>
      <c r="BF15" s="77"/>
      <c r="BG15" s="78"/>
      <c r="BH15" s="78"/>
      <c r="BI15" s="77"/>
      <c r="BJ15" s="77"/>
      <c r="BK15" s="77"/>
      <c r="BL15" s="77"/>
      <c r="BM15" s="77"/>
      <c r="BN15" s="78"/>
      <c r="BO15" s="78"/>
    </row>
    <row r="16" ht="21.75" customHeight="1">
      <c r="A16" s="61">
        <v>13.0</v>
      </c>
      <c r="B16" s="61" t="s">
        <v>203</v>
      </c>
      <c r="C16" s="62" t="s">
        <v>205</v>
      </c>
      <c r="D16" s="64" t="s">
        <v>57</v>
      </c>
      <c r="E16" s="77"/>
      <c r="F16" s="77"/>
      <c r="G16" s="77"/>
      <c r="H16" s="77"/>
      <c r="I16" s="77"/>
      <c r="J16" s="78"/>
      <c r="K16" s="78"/>
      <c r="L16" s="77"/>
      <c r="M16" s="77"/>
      <c r="N16" s="77"/>
      <c r="O16" s="77"/>
      <c r="P16" s="77"/>
      <c r="Q16" s="78"/>
      <c r="R16" s="78"/>
      <c r="S16" s="77"/>
      <c r="T16" s="77"/>
      <c r="U16" s="77"/>
      <c r="V16" s="77"/>
      <c r="W16" s="77"/>
      <c r="X16" s="78"/>
      <c r="Y16" s="78"/>
      <c r="Z16" s="93"/>
      <c r="AA16" s="93"/>
      <c r="AB16" s="93"/>
      <c r="AC16" s="93"/>
      <c r="AD16" s="77"/>
      <c r="AE16" s="78"/>
      <c r="AF16" s="78"/>
      <c r="AG16" s="77"/>
      <c r="AH16" s="77"/>
      <c r="AI16" s="77"/>
      <c r="AJ16" s="77"/>
      <c r="AK16" s="77"/>
      <c r="AL16" s="78"/>
      <c r="AM16" s="78"/>
      <c r="AN16" s="77"/>
      <c r="AO16" s="77"/>
      <c r="AP16" s="77"/>
      <c r="AQ16" s="77"/>
      <c r="AR16" s="77"/>
      <c r="AS16" s="78"/>
      <c r="AT16" s="78"/>
      <c r="AU16" s="77"/>
      <c r="AV16" s="77"/>
      <c r="AW16" s="77"/>
      <c r="AX16" s="77"/>
      <c r="AY16" s="77"/>
      <c r="AZ16" s="78"/>
      <c r="BA16" s="78"/>
      <c r="BB16" s="77"/>
      <c r="BC16" s="77"/>
      <c r="BD16" s="77"/>
      <c r="BE16" s="77"/>
      <c r="BF16" s="77"/>
      <c r="BG16" s="78"/>
      <c r="BH16" s="78"/>
      <c r="BI16" s="77"/>
      <c r="BJ16" s="77"/>
      <c r="BK16" s="77"/>
      <c r="BL16" s="77"/>
      <c r="BM16" s="77"/>
      <c r="BN16" s="78"/>
      <c r="BO16" s="78"/>
    </row>
    <row r="17" ht="21.75" customHeight="1">
      <c r="A17" s="83">
        <v>14.0</v>
      </c>
      <c r="B17" s="83" t="s">
        <v>159</v>
      </c>
      <c r="C17" s="85" t="s">
        <v>211</v>
      </c>
      <c r="D17" s="87" t="s">
        <v>54</v>
      </c>
      <c r="E17" s="77"/>
      <c r="F17" s="77"/>
      <c r="G17" s="77"/>
      <c r="H17" s="77"/>
      <c r="I17" s="77"/>
      <c r="J17" s="78"/>
      <c r="K17" s="78"/>
      <c r="L17" s="77"/>
      <c r="M17" s="77"/>
      <c r="N17" s="77"/>
      <c r="O17" s="77"/>
      <c r="P17" s="77"/>
      <c r="Q17" s="78"/>
      <c r="R17" s="78"/>
      <c r="S17" s="77"/>
      <c r="T17" s="77"/>
      <c r="U17" s="77"/>
      <c r="V17" s="77"/>
      <c r="W17" s="77"/>
      <c r="X17" s="78"/>
      <c r="Y17" s="78"/>
      <c r="Z17" s="93"/>
      <c r="AA17" s="93"/>
      <c r="AB17" s="93"/>
      <c r="AC17" s="93"/>
      <c r="AD17" s="93"/>
      <c r="AE17" s="93"/>
      <c r="AF17" s="78"/>
      <c r="AG17" s="77"/>
      <c r="AH17" s="77"/>
      <c r="AI17" s="77"/>
      <c r="AJ17" s="77"/>
      <c r="AK17" s="77"/>
      <c r="AL17" s="78"/>
      <c r="AM17" s="78"/>
      <c r="AN17" s="77"/>
      <c r="AO17" s="77"/>
      <c r="AP17" s="77"/>
      <c r="AQ17" s="77"/>
      <c r="AR17" s="77"/>
      <c r="AS17" s="78"/>
      <c r="AT17" s="78"/>
      <c r="AU17" s="77"/>
      <c r="AV17" s="77"/>
      <c r="AW17" s="77"/>
      <c r="AX17" s="77"/>
      <c r="AY17" s="77"/>
      <c r="AZ17" s="78"/>
      <c r="BA17" s="78"/>
      <c r="BB17" s="77"/>
      <c r="BC17" s="77"/>
      <c r="BD17" s="77"/>
      <c r="BE17" s="77"/>
      <c r="BF17" s="77"/>
      <c r="BG17" s="78"/>
      <c r="BH17" s="78"/>
      <c r="BI17" s="77"/>
      <c r="BJ17" s="77"/>
      <c r="BK17" s="77"/>
      <c r="BL17" s="77"/>
      <c r="BM17" s="77"/>
      <c r="BN17" s="78"/>
      <c r="BO17" s="78"/>
    </row>
    <row r="18" ht="21.75" customHeight="1">
      <c r="A18" s="61">
        <v>15.0</v>
      </c>
      <c r="B18" s="61" t="s">
        <v>216</v>
      </c>
      <c r="C18" s="62" t="s">
        <v>218</v>
      </c>
      <c r="D18" s="64" t="s">
        <v>114</v>
      </c>
      <c r="E18" s="77"/>
      <c r="F18" s="77"/>
      <c r="G18" s="77"/>
      <c r="H18" s="77"/>
      <c r="I18" s="77"/>
      <c r="J18" s="78"/>
      <c r="K18" s="78"/>
      <c r="L18" s="77"/>
      <c r="M18" s="77"/>
      <c r="N18" s="77"/>
      <c r="O18" s="77"/>
      <c r="P18" s="77"/>
      <c r="Q18" s="78"/>
      <c r="R18" s="78"/>
      <c r="S18" s="77"/>
      <c r="T18" s="77"/>
      <c r="U18" s="77"/>
      <c r="V18" s="77"/>
      <c r="W18" s="77"/>
      <c r="X18" s="78"/>
      <c r="Y18" s="78"/>
      <c r="Z18" s="77"/>
      <c r="AA18" s="77"/>
      <c r="AB18" s="93"/>
      <c r="AC18" s="93"/>
      <c r="AD18" s="93"/>
      <c r="AE18" s="93"/>
      <c r="AF18" s="93"/>
      <c r="AG18" s="77"/>
      <c r="AH18" s="77"/>
      <c r="AI18" s="77"/>
      <c r="AJ18" s="77"/>
      <c r="AK18" s="77"/>
      <c r="AL18" s="78"/>
      <c r="AM18" s="78"/>
      <c r="AN18" s="77"/>
      <c r="AO18" s="77"/>
      <c r="AP18" s="77"/>
      <c r="AQ18" s="77"/>
      <c r="AR18" s="77"/>
      <c r="AS18" s="78"/>
      <c r="AT18" s="78"/>
      <c r="AU18" s="77"/>
      <c r="AV18" s="77"/>
      <c r="AW18" s="77"/>
      <c r="AX18" s="77"/>
      <c r="AY18" s="77"/>
      <c r="AZ18" s="78"/>
      <c r="BA18" s="78"/>
      <c r="BB18" s="77"/>
      <c r="BC18" s="77"/>
      <c r="BD18" s="77"/>
      <c r="BE18" s="77"/>
      <c r="BF18" s="77"/>
      <c r="BG18" s="78"/>
      <c r="BH18" s="78"/>
      <c r="BI18" s="77"/>
      <c r="BJ18" s="77"/>
      <c r="BK18" s="77"/>
      <c r="BL18" s="77"/>
      <c r="BM18" s="77"/>
      <c r="BN18" s="78"/>
      <c r="BO18" s="78"/>
    </row>
    <row r="19" ht="21.75" customHeight="1">
      <c r="A19" s="83">
        <v>16.0</v>
      </c>
      <c r="B19" s="83" t="s">
        <v>223</v>
      </c>
      <c r="C19" s="85" t="s">
        <v>225</v>
      </c>
      <c r="D19" s="87" t="s">
        <v>158</v>
      </c>
      <c r="E19" s="77"/>
      <c r="F19" s="77"/>
      <c r="G19" s="77"/>
      <c r="H19" s="77"/>
      <c r="I19" s="77"/>
      <c r="J19" s="78"/>
      <c r="K19" s="78"/>
      <c r="L19" s="77"/>
      <c r="M19" s="77"/>
      <c r="N19" s="77"/>
      <c r="O19" s="77"/>
      <c r="P19" s="77"/>
      <c r="Q19" s="78"/>
      <c r="R19" s="78"/>
      <c r="S19" s="77"/>
      <c r="T19" s="77"/>
      <c r="U19" s="77"/>
      <c r="V19" s="77"/>
      <c r="W19" s="77"/>
      <c r="X19" s="78"/>
      <c r="Y19" s="78"/>
      <c r="Z19" s="77"/>
      <c r="AA19" s="77"/>
      <c r="AB19" s="77"/>
      <c r="AC19" s="77"/>
      <c r="AD19" s="77"/>
      <c r="AE19" s="93"/>
      <c r="AF19" s="96" t="s">
        <v>350</v>
      </c>
      <c r="AG19" s="77"/>
      <c r="AH19" s="77"/>
      <c r="AI19" s="77"/>
      <c r="AJ19" s="77"/>
      <c r="AK19" s="77"/>
      <c r="AL19" s="78"/>
      <c r="AM19" s="78"/>
      <c r="AN19" s="77"/>
      <c r="AO19" s="77"/>
      <c r="AP19" s="77"/>
      <c r="AQ19" s="77"/>
      <c r="AR19" s="77"/>
      <c r="AS19" s="78"/>
      <c r="AT19" s="78"/>
      <c r="AU19" s="77"/>
      <c r="AV19" s="77"/>
      <c r="AW19" s="77"/>
      <c r="AX19" s="77"/>
      <c r="AY19" s="77"/>
      <c r="AZ19" s="78"/>
      <c r="BA19" s="78"/>
      <c r="BB19" s="77"/>
      <c r="BC19" s="77"/>
      <c r="BD19" s="77"/>
      <c r="BE19" s="77"/>
      <c r="BF19" s="77"/>
      <c r="BG19" s="78"/>
      <c r="BH19" s="78"/>
      <c r="BI19" s="77"/>
      <c r="BJ19" s="77"/>
      <c r="BK19" s="77"/>
      <c r="BL19" s="77"/>
      <c r="BM19" s="77"/>
      <c r="BN19" s="78"/>
      <c r="BO19" s="78"/>
    </row>
    <row r="20" ht="21.75" customHeight="1">
      <c r="A20" s="61">
        <v>17.0</v>
      </c>
      <c r="B20" s="61" t="s">
        <v>230</v>
      </c>
      <c r="C20" s="62" t="s">
        <v>232</v>
      </c>
      <c r="D20" s="64" t="s">
        <v>158</v>
      </c>
      <c r="E20" s="77"/>
      <c r="F20" s="77"/>
      <c r="G20" s="77"/>
      <c r="H20" s="77"/>
      <c r="I20" s="77"/>
      <c r="J20" s="78"/>
      <c r="K20" s="78"/>
      <c r="L20" s="77"/>
      <c r="M20" s="77"/>
      <c r="N20" s="77"/>
      <c r="O20" s="77"/>
      <c r="P20" s="77"/>
      <c r="Q20" s="78"/>
      <c r="R20" s="78"/>
      <c r="S20" s="77"/>
      <c r="T20" s="77"/>
      <c r="U20" s="77"/>
      <c r="V20" s="77"/>
      <c r="W20" s="77"/>
      <c r="X20" s="78"/>
      <c r="Y20" s="78"/>
      <c r="Z20" s="77"/>
      <c r="AA20" s="77"/>
      <c r="AB20" s="77"/>
      <c r="AC20" s="77"/>
      <c r="AD20" s="77"/>
      <c r="AE20" s="78"/>
      <c r="AF20" s="78"/>
      <c r="AG20" s="98"/>
      <c r="AH20" s="98"/>
      <c r="AI20" s="98"/>
      <c r="AJ20" s="98"/>
      <c r="AK20" s="77"/>
      <c r="AL20" s="78"/>
      <c r="AM20" s="78"/>
      <c r="AN20" s="77"/>
      <c r="AO20" s="77"/>
      <c r="AP20" s="77"/>
      <c r="AQ20" s="77"/>
      <c r="AR20" s="77"/>
      <c r="AS20" s="78"/>
      <c r="AT20" s="78"/>
      <c r="AU20" s="77"/>
      <c r="AV20" s="77"/>
      <c r="AW20" s="77"/>
      <c r="AX20" s="77"/>
      <c r="AY20" s="77"/>
      <c r="AZ20" s="78"/>
      <c r="BA20" s="78"/>
      <c r="BB20" s="77"/>
      <c r="BC20" s="77"/>
      <c r="BD20" s="77"/>
      <c r="BE20" s="77"/>
      <c r="BF20" s="77"/>
      <c r="BG20" s="78"/>
      <c r="BH20" s="78"/>
      <c r="BI20" s="77"/>
      <c r="BJ20" s="77"/>
      <c r="BK20" s="77"/>
      <c r="BL20" s="77"/>
      <c r="BM20" s="77"/>
      <c r="BN20" s="78"/>
      <c r="BO20" s="78"/>
    </row>
    <row r="21" ht="21.75" customHeight="1">
      <c r="A21" s="83">
        <v>18.0</v>
      </c>
      <c r="B21" s="83" t="s">
        <v>115</v>
      </c>
      <c r="C21" s="85" t="s">
        <v>238</v>
      </c>
      <c r="D21" s="87" t="s">
        <v>114</v>
      </c>
      <c r="E21" s="77"/>
      <c r="F21" s="77"/>
      <c r="G21" s="77"/>
      <c r="H21" s="77"/>
      <c r="I21" s="77"/>
      <c r="J21" s="78"/>
      <c r="K21" s="78"/>
      <c r="L21" s="77"/>
      <c r="M21" s="77"/>
      <c r="N21" s="77"/>
      <c r="O21" s="77"/>
      <c r="P21" s="77"/>
      <c r="Q21" s="78"/>
      <c r="R21" s="78"/>
      <c r="S21" s="77"/>
      <c r="T21" s="77"/>
      <c r="U21" s="77"/>
      <c r="V21" s="77"/>
      <c r="W21" s="77"/>
      <c r="X21" s="78"/>
      <c r="Y21" s="78"/>
      <c r="Z21" s="77"/>
      <c r="AA21" s="77"/>
      <c r="AB21" s="77"/>
      <c r="AC21" s="77"/>
      <c r="AD21" s="77"/>
      <c r="AE21" s="78"/>
      <c r="AF21" s="78"/>
      <c r="AG21" s="77"/>
      <c r="AH21" s="77"/>
      <c r="AI21" s="98"/>
      <c r="AJ21" s="98"/>
      <c r="AK21" s="98"/>
      <c r="AL21" s="98"/>
      <c r="AM21" s="78"/>
      <c r="AN21" s="77"/>
      <c r="AO21" s="77"/>
      <c r="AP21" s="77"/>
      <c r="AQ21" s="77"/>
      <c r="AR21" s="77"/>
      <c r="AS21" s="78"/>
      <c r="AT21" s="78"/>
      <c r="AU21" s="77"/>
      <c r="AV21" s="77"/>
      <c r="AW21" s="77"/>
      <c r="AX21" s="77"/>
      <c r="AY21" s="77"/>
      <c r="AZ21" s="78"/>
      <c r="BA21" s="78"/>
      <c r="BB21" s="77"/>
      <c r="BC21" s="77"/>
      <c r="BD21" s="77"/>
      <c r="BE21" s="77"/>
      <c r="BF21" s="77"/>
      <c r="BG21" s="78"/>
      <c r="BH21" s="78"/>
      <c r="BI21" s="77"/>
      <c r="BJ21" s="77"/>
      <c r="BK21" s="77"/>
      <c r="BL21" s="77"/>
      <c r="BM21" s="77"/>
      <c r="BN21" s="78"/>
      <c r="BO21" s="78"/>
    </row>
    <row r="22" ht="21.75" customHeight="1">
      <c r="A22" s="61">
        <v>19.0</v>
      </c>
      <c r="B22" s="61" t="s">
        <v>94</v>
      </c>
      <c r="C22" s="62" t="s">
        <v>242</v>
      </c>
      <c r="D22" s="64" t="s">
        <v>57</v>
      </c>
      <c r="E22" s="77"/>
      <c r="F22" s="77"/>
      <c r="G22" s="77"/>
      <c r="H22" s="77"/>
      <c r="I22" s="77"/>
      <c r="J22" s="78"/>
      <c r="K22" s="78"/>
      <c r="L22" s="77"/>
      <c r="M22" s="77"/>
      <c r="N22" s="77"/>
      <c r="O22" s="77"/>
      <c r="P22" s="77"/>
      <c r="Q22" s="78"/>
      <c r="R22" s="78"/>
      <c r="S22" s="77"/>
      <c r="T22" s="77"/>
      <c r="U22" s="77"/>
      <c r="V22" s="77"/>
      <c r="W22" s="77"/>
      <c r="X22" s="78"/>
      <c r="Y22" s="78"/>
      <c r="Z22" s="77"/>
      <c r="AA22" s="77"/>
      <c r="AB22" s="77"/>
      <c r="AC22" s="77"/>
      <c r="AD22" s="77"/>
      <c r="AE22" s="78"/>
      <c r="AF22" s="78"/>
      <c r="AG22" s="98"/>
      <c r="AH22" s="98"/>
      <c r="AI22" s="98"/>
      <c r="AJ22" s="98"/>
      <c r="AK22" s="98"/>
      <c r="AL22" s="98"/>
      <c r="AM22" s="78"/>
      <c r="AN22" s="77"/>
      <c r="AO22" s="77"/>
      <c r="AP22" s="77"/>
      <c r="AQ22" s="77"/>
      <c r="AR22" s="77"/>
      <c r="AS22" s="78"/>
      <c r="AT22" s="78"/>
      <c r="AU22" s="77"/>
      <c r="AV22" s="77"/>
      <c r="AW22" s="77"/>
      <c r="AX22" s="77"/>
      <c r="AY22" s="77"/>
      <c r="AZ22" s="78"/>
      <c r="BA22" s="78"/>
      <c r="BB22" s="77"/>
      <c r="BC22" s="77"/>
      <c r="BD22" s="77"/>
      <c r="BE22" s="77"/>
      <c r="BF22" s="77"/>
      <c r="BG22" s="78"/>
      <c r="BH22" s="78"/>
      <c r="BI22" s="77"/>
      <c r="BJ22" s="77"/>
      <c r="BK22" s="77"/>
      <c r="BL22" s="77"/>
      <c r="BM22" s="77"/>
      <c r="BN22" s="78"/>
      <c r="BO22" s="78"/>
    </row>
    <row r="23" ht="21.75" customHeight="1">
      <c r="A23" s="83">
        <v>20.0</v>
      </c>
      <c r="B23" s="83" t="s">
        <v>247</v>
      </c>
      <c r="C23" s="85" t="s">
        <v>248</v>
      </c>
      <c r="D23" s="87" t="s">
        <v>54</v>
      </c>
      <c r="E23" s="77"/>
      <c r="F23" s="77"/>
      <c r="G23" s="77"/>
      <c r="H23" s="77"/>
      <c r="I23" s="77"/>
      <c r="J23" s="78"/>
      <c r="K23" s="78"/>
      <c r="L23" s="77"/>
      <c r="M23" s="77"/>
      <c r="N23" s="77"/>
      <c r="O23" s="77"/>
      <c r="P23" s="77"/>
      <c r="Q23" s="78"/>
      <c r="R23" s="78"/>
      <c r="S23" s="77"/>
      <c r="T23" s="77"/>
      <c r="U23" s="77"/>
      <c r="V23" s="77"/>
      <c r="W23" s="77"/>
      <c r="X23" s="78"/>
      <c r="Y23" s="78"/>
      <c r="Z23" s="77"/>
      <c r="AA23" s="77"/>
      <c r="AB23" s="77"/>
      <c r="AC23" s="77"/>
      <c r="AD23" s="77"/>
      <c r="AE23" s="78"/>
      <c r="AF23" s="78"/>
      <c r="AG23" s="98"/>
      <c r="AH23" s="98"/>
      <c r="AI23" s="98"/>
      <c r="AJ23" s="98"/>
      <c r="AK23" s="98"/>
      <c r="AL23" s="98"/>
      <c r="AM23" s="78"/>
      <c r="AN23" s="77"/>
      <c r="AO23" s="77"/>
      <c r="AP23" s="77"/>
      <c r="AQ23" s="77"/>
      <c r="AR23" s="77"/>
      <c r="AS23" s="78"/>
      <c r="AT23" s="78"/>
      <c r="AU23" s="77"/>
      <c r="AV23" s="77"/>
      <c r="AW23" s="77"/>
      <c r="AX23" s="77"/>
      <c r="AY23" s="77"/>
      <c r="AZ23" s="78"/>
      <c r="BA23" s="78"/>
      <c r="BB23" s="77"/>
      <c r="BC23" s="77"/>
      <c r="BD23" s="77"/>
      <c r="BE23" s="77"/>
      <c r="BF23" s="77"/>
      <c r="BG23" s="78"/>
      <c r="BH23" s="78"/>
      <c r="BI23" s="77"/>
      <c r="BJ23" s="77"/>
      <c r="BK23" s="77"/>
      <c r="BL23" s="77"/>
      <c r="BM23" s="77"/>
      <c r="BN23" s="78"/>
      <c r="BO23" s="78"/>
    </row>
    <row r="24" ht="21.75" customHeight="1">
      <c r="A24" s="61">
        <v>21.0</v>
      </c>
      <c r="B24" s="61" t="s">
        <v>258</v>
      </c>
      <c r="C24" s="62" t="s">
        <v>260</v>
      </c>
      <c r="D24" s="64" t="s">
        <v>57</v>
      </c>
      <c r="E24" s="77"/>
      <c r="F24" s="77"/>
      <c r="G24" s="77"/>
      <c r="H24" s="77"/>
      <c r="I24" s="77"/>
      <c r="J24" s="78"/>
      <c r="K24" s="78"/>
      <c r="L24" s="77"/>
      <c r="M24" s="77"/>
      <c r="N24" s="77"/>
      <c r="O24" s="77"/>
      <c r="P24" s="77"/>
      <c r="Q24" s="78"/>
      <c r="R24" s="78"/>
      <c r="S24" s="77"/>
      <c r="T24" s="77"/>
      <c r="U24" s="77"/>
      <c r="V24" s="77"/>
      <c r="W24" s="77"/>
      <c r="X24" s="78"/>
      <c r="Y24" s="78"/>
      <c r="Z24" s="77"/>
      <c r="AA24" s="77"/>
      <c r="AB24" s="77"/>
      <c r="AC24" s="77"/>
      <c r="AD24" s="77"/>
      <c r="AE24" s="78"/>
      <c r="AF24" s="78"/>
      <c r="AG24" s="77"/>
      <c r="AH24" s="77"/>
      <c r="AI24" s="77"/>
      <c r="AJ24" s="77"/>
      <c r="AK24" s="77"/>
      <c r="AL24" s="78"/>
      <c r="AM24" s="78"/>
      <c r="AN24" s="98"/>
      <c r="AO24" s="98"/>
      <c r="AP24" s="98"/>
      <c r="AQ24" s="98"/>
      <c r="AR24" s="77"/>
      <c r="AS24" s="78"/>
      <c r="AT24" s="78"/>
      <c r="AU24" s="77"/>
      <c r="AV24" s="77"/>
      <c r="AW24" s="77"/>
      <c r="AX24" s="77"/>
      <c r="AY24" s="77"/>
      <c r="AZ24" s="78"/>
      <c r="BA24" s="78"/>
      <c r="BB24" s="77"/>
      <c r="BC24" s="77"/>
      <c r="BD24" s="77"/>
      <c r="BE24" s="77"/>
      <c r="BF24" s="77"/>
      <c r="BG24" s="78"/>
      <c r="BH24" s="78"/>
      <c r="BI24" s="77"/>
      <c r="BJ24" s="77"/>
      <c r="BK24" s="77"/>
      <c r="BL24" s="77"/>
      <c r="BM24" s="77"/>
      <c r="BN24" s="78"/>
      <c r="BO24" s="78"/>
    </row>
    <row r="25" ht="21.75" customHeight="1">
      <c r="A25" s="83">
        <v>22.0</v>
      </c>
      <c r="B25" s="83" t="s">
        <v>264</v>
      </c>
      <c r="C25" s="85" t="s">
        <v>266</v>
      </c>
      <c r="D25" s="87" t="s">
        <v>114</v>
      </c>
      <c r="E25" s="77"/>
      <c r="F25" s="77"/>
      <c r="G25" s="77"/>
      <c r="H25" s="77"/>
      <c r="I25" s="77"/>
      <c r="J25" s="78"/>
      <c r="K25" s="78"/>
      <c r="L25" s="77"/>
      <c r="M25" s="77"/>
      <c r="N25" s="77"/>
      <c r="O25" s="77"/>
      <c r="P25" s="77"/>
      <c r="Q25" s="78"/>
      <c r="R25" s="78"/>
      <c r="S25" s="77"/>
      <c r="T25" s="77"/>
      <c r="U25" s="77"/>
      <c r="V25" s="77"/>
      <c r="W25" s="77"/>
      <c r="X25" s="78"/>
      <c r="Y25" s="78"/>
      <c r="Z25" s="77"/>
      <c r="AA25" s="77"/>
      <c r="AB25" s="77"/>
      <c r="AC25" s="77"/>
      <c r="AD25" s="77"/>
      <c r="AE25" s="78"/>
      <c r="AF25" s="78"/>
      <c r="AG25" s="77"/>
      <c r="AH25" s="77"/>
      <c r="AI25" s="77"/>
      <c r="AJ25" s="77"/>
      <c r="AK25" s="77"/>
      <c r="AL25" s="78"/>
      <c r="AM25" s="78"/>
      <c r="AN25" s="77"/>
      <c r="AO25" s="77"/>
      <c r="AP25" s="98"/>
      <c r="AQ25" s="98"/>
      <c r="AR25" s="98"/>
      <c r="AS25" s="78"/>
      <c r="AT25" s="78"/>
      <c r="AU25" s="77"/>
      <c r="AV25" s="77"/>
      <c r="AW25" s="77"/>
      <c r="AX25" s="77"/>
      <c r="AY25" s="77"/>
      <c r="AZ25" s="78"/>
      <c r="BA25" s="78"/>
      <c r="BB25" s="77"/>
      <c r="BC25" s="77"/>
      <c r="BD25" s="77"/>
      <c r="BE25" s="77"/>
      <c r="BF25" s="77"/>
      <c r="BG25" s="78"/>
      <c r="BH25" s="78"/>
      <c r="BI25" s="77"/>
      <c r="BJ25" s="77"/>
      <c r="BK25" s="77"/>
      <c r="BL25" s="77"/>
      <c r="BM25" s="77"/>
      <c r="BN25" s="78"/>
      <c r="BO25" s="78"/>
    </row>
    <row r="26" ht="21.75" customHeight="1">
      <c r="A26" s="61">
        <v>23.0</v>
      </c>
      <c r="B26" s="61" t="s">
        <v>273</v>
      </c>
      <c r="C26" s="62" t="s">
        <v>274</v>
      </c>
      <c r="D26" s="64" t="s">
        <v>54</v>
      </c>
      <c r="E26" s="77"/>
      <c r="F26" s="77"/>
      <c r="G26" s="77"/>
      <c r="H26" s="77"/>
      <c r="I26" s="77"/>
      <c r="J26" s="78"/>
      <c r="K26" s="78"/>
      <c r="L26" s="77"/>
      <c r="M26" s="77"/>
      <c r="N26" s="77"/>
      <c r="O26" s="77"/>
      <c r="P26" s="77"/>
      <c r="Q26" s="78"/>
      <c r="R26" s="78"/>
      <c r="S26" s="77"/>
      <c r="T26" s="77"/>
      <c r="U26" s="77"/>
      <c r="V26" s="77"/>
      <c r="W26" s="77"/>
      <c r="X26" s="78"/>
      <c r="Y26" s="78"/>
      <c r="Z26" s="77"/>
      <c r="AA26" s="77"/>
      <c r="AB26" s="77"/>
      <c r="AC26" s="77"/>
      <c r="AD26" s="77"/>
      <c r="AE26" s="78"/>
      <c r="AF26" s="78"/>
      <c r="AG26" s="77"/>
      <c r="AH26" s="77"/>
      <c r="AI26" s="77"/>
      <c r="AJ26" s="77"/>
      <c r="AK26" s="77"/>
      <c r="AL26" s="78"/>
      <c r="AM26" s="78"/>
      <c r="AN26" s="77"/>
      <c r="AO26" s="77"/>
      <c r="AP26" s="77"/>
      <c r="AQ26" s="98"/>
      <c r="AR26" s="98"/>
      <c r="AS26" s="98"/>
      <c r="AT26" s="98"/>
      <c r="AU26" s="77"/>
      <c r="AV26" s="77"/>
      <c r="AW26" s="77"/>
      <c r="AX26" s="77"/>
      <c r="AY26" s="77"/>
      <c r="AZ26" s="78"/>
      <c r="BA26" s="78"/>
      <c r="BB26" s="77"/>
      <c r="BC26" s="77"/>
      <c r="BD26" s="77"/>
      <c r="BE26" s="77"/>
      <c r="BF26" s="77"/>
      <c r="BG26" s="78"/>
      <c r="BH26" s="78"/>
      <c r="BI26" s="77"/>
      <c r="BJ26" s="77"/>
      <c r="BK26" s="77"/>
      <c r="BL26" s="77"/>
      <c r="BM26" s="77"/>
      <c r="BN26" s="78"/>
      <c r="BO26" s="78"/>
    </row>
    <row r="27" ht="21.75" customHeight="1">
      <c r="A27" s="83">
        <v>24.0</v>
      </c>
      <c r="B27" s="83" t="s">
        <v>125</v>
      </c>
      <c r="C27" s="85" t="s">
        <v>281</v>
      </c>
      <c r="D27" s="87" t="s">
        <v>158</v>
      </c>
      <c r="E27" s="77"/>
      <c r="F27" s="77"/>
      <c r="G27" s="77"/>
      <c r="H27" s="77"/>
      <c r="I27" s="77"/>
      <c r="J27" s="78"/>
      <c r="K27" s="78"/>
      <c r="L27" s="77"/>
      <c r="M27" s="77"/>
      <c r="N27" s="77"/>
      <c r="O27" s="77"/>
      <c r="P27" s="77"/>
      <c r="Q27" s="78"/>
      <c r="R27" s="78"/>
      <c r="S27" s="77"/>
      <c r="T27" s="77"/>
      <c r="U27" s="77"/>
      <c r="V27" s="77"/>
      <c r="W27" s="77"/>
      <c r="X27" s="78"/>
      <c r="Y27" s="78"/>
      <c r="Z27" s="77"/>
      <c r="AA27" s="77"/>
      <c r="AB27" s="77"/>
      <c r="AC27" s="77"/>
      <c r="AD27" s="77"/>
      <c r="AE27" s="78"/>
      <c r="AF27" s="78"/>
      <c r="AG27" s="77"/>
      <c r="AH27" s="77"/>
      <c r="AI27" s="77"/>
      <c r="AJ27" s="77"/>
      <c r="AK27" s="77"/>
      <c r="AL27" s="78"/>
      <c r="AM27" s="78"/>
      <c r="AN27" s="77"/>
      <c r="AO27" s="77"/>
      <c r="AP27" s="77"/>
      <c r="AQ27" s="77"/>
      <c r="AR27" s="77"/>
      <c r="AS27" s="98"/>
      <c r="AT27" s="98"/>
      <c r="AU27" s="77"/>
      <c r="AV27" s="77"/>
      <c r="AW27" s="77"/>
      <c r="AX27" s="77"/>
      <c r="AY27" s="77"/>
      <c r="AZ27" s="78"/>
      <c r="BA27" s="78"/>
      <c r="BB27" s="77"/>
      <c r="BC27" s="77"/>
      <c r="BD27" s="77"/>
      <c r="BE27" s="77"/>
      <c r="BF27" s="77"/>
      <c r="BG27" s="78"/>
      <c r="BH27" s="78"/>
      <c r="BI27" s="77"/>
      <c r="BJ27" s="77"/>
      <c r="BK27" s="77"/>
      <c r="BL27" s="77"/>
      <c r="BM27" s="77"/>
      <c r="BN27" s="78"/>
      <c r="BO27" s="78"/>
    </row>
    <row r="28" ht="21.75" customHeight="1">
      <c r="A28" s="61">
        <v>25.0</v>
      </c>
      <c r="B28" s="61" t="s">
        <v>288</v>
      </c>
      <c r="C28" s="62" t="s">
        <v>293</v>
      </c>
      <c r="D28" s="64" t="s">
        <v>114</v>
      </c>
      <c r="E28" s="77"/>
      <c r="F28" s="77"/>
      <c r="G28" s="77"/>
      <c r="H28" s="77"/>
      <c r="I28" s="77"/>
      <c r="J28" s="78"/>
      <c r="K28" s="78"/>
      <c r="L28" s="77"/>
      <c r="M28" s="77"/>
      <c r="N28" s="77"/>
      <c r="O28" s="77"/>
      <c r="P28" s="77"/>
      <c r="Q28" s="78"/>
      <c r="R28" s="78"/>
      <c r="S28" s="77"/>
      <c r="T28" s="77"/>
      <c r="U28" s="77"/>
      <c r="V28" s="77"/>
      <c r="W28" s="77"/>
      <c r="X28" s="78"/>
      <c r="Y28" s="78"/>
      <c r="Z28" s="77"/>
      <c r="AA28" s="77"/>
      <c r="AB28" s="77"/>
      <c r="AC28" s="77"/>
      <c r="AD28" s="77"/>
      <c r="AE28" s="78"/>
      <c r="AF28" s="78"/>
      <c r="AG28" s="77"/>
      <c r="AH28" s="77"/>
      <c r="AI28" s="77"/>
      <c r="AJ28" s="77"/>
      <c r="AK28" s="77"/>
      <c r="AL28" s="78"/>
      <c r="AM28" s="78"/>
      <c r="AN28" s="77"/>
      <c r="AO28" s="77"/>
      <c r="AP28" s="77"/>
      <c r="AQ28" s="77"/>
      <c r="AR28" s="77"/>
      <c r="AS28" s="78"/>
      <c r="AT28" s="78"/>
      <c r="AU28" s="105"/>
      <c r="AV28" s="105"/>
      <c r="AW28" s="77"/>
      <c r="AX28" s="77"/>
      <c r="AY28" s="77"/>
      <c r="AZ28" s="78"/>
      <c r="BA28" s="78"/>
      <c r="BB28" s="77"/>
      <c r="BC28" s="77"/>
      <c r="BD28" s="77"/>
      <c r="BE28" s="77"/>
      <c r="BF28" s="77"/>
      <c r="BG28" s="78"/>
      <c r="BH28" s="78"/>
      <c r="BI28" s="77"/>
      <c r="BJ28" s="77"/>
      <c r="BK28" s="77"/>
      <c r="BL28" s="77"/>
      <c r="BM28" s="77"/>
      <c r="BN28" s="78"/>
      <c r="BO28" s="78"/>
    </row>
    <row r="29" ht="21.75" customHeight="1">
      <c r="A29" s="83">
        <v>26.0</v>
      </c>
      <c r="B29" s="83" t="s">
        <v>302</v>
      </c>
      <c r="C29" s="85" t="s">
        <v>303</v>
      </c>
      <c r="D29" s="87" t="s">
        <v>158</v>
      </c>
      <c r="E29" s="77"/>
      <c r="F29" s="77"/>
      <c r="G29" s="77"/>
      <c r="H29" s="77"/>
      <c r="I29" s="77"/>
      <c r="J29" s="78"/>
      <c r="K29" s="78"/>
      <c r="L29" s="77"/>
      <c r="M29" s="77"/>
      <c r="N29" s="77"/>
      <c r="O29" s="77"/>
      <c r="P29" s="77"/>
      <c r="Q29" s="78"/>
      <c r="R29" s="78"/>
      <c r="S29" s="77"/>
      <c r="T29" s="77"/>
      <c r="U29" s="77"/>
      <c r="V29" s="77"/>
      <c r="W29" s="77"/>
      <c r="X29" s="78"/>
      <c r="Y29" s="78"/>
      <c r="Z29" s="77"/>
      <c r="AA29" s="77"/>
      <c r="AB29" s="77"/>
      <c r="AC29" s="77"/>
      <c r="AD29" s="77"/>
      <c r="AE29" s="78"/>
      <c r="AF29" s="78"/>
      <c r="AG29" s="77"/>
      <c r="AH29" s="77"/>
      <c r="AI29" s="77"/>
      <c r="AJ29" s="77"/>
      <c r="AK29" s="77"/>
      <c r="AL29" s="78"/>
      <c r="AM29" s="78"/>
      <c r="AN29" s="77"/>
      <c r="AO29" s="77"/>
      <c r="AP29" s="77"/>
      <c r="AQ29" s="77"/>
      <c r="AR29" s="77"/>
      <c r="AS29" s="78"/>
      <c r="AT29" s="78"/>
      <c r="AU29" s="77"/>
      <c r="AV29" s="77"/>
      <c r="AW29" s="105"/>
      <c r="AX29" s="105"/>
      <c r="AY29" s="105"/>
      <c r="AZ29" s="105"/>
      <c r="BA29" s="78"/>
      <c r="BB29" s="77"/>
      <c r="BC29" s="77"/>
      <c r="BD29" s="77"/>
      <c r="BE29" s="77"/>
      <c r="BF29" s="77"/>
      <c r="BG29" s="78"/>
      <c r="BH29" s="78"/>
      <c r="BI29" s="77"/>
      <c r="BJ29" s="77"/>
      <c r="BK29" s="77"/>
      <c r="BL29" s="77"/>
      <c r="BM29" s="77"/>
      <c r="BN29" s="78"/>
      <c r="BO29" s="78"/>
    </row>
    <row r="30" ht="21.75" customHeight="1">
      <c r="A30" s="61">
        <v>27.0</v>
      </c>
      <c r="B30" s="61" t="s">
        <v>308</v>
      </c>
      <c r="C30" s="62" t="s">
        <v>309</v>
      </c>
      <c r="D30" s="64" t="s">
        <v>57</v>
      </c>
      <c r="E30" s="77"/>
      <c r="F30" s="77"/>
      <c r="G30" s="77"/>
      <c r="H30" s="77"/>
      <c r="I30" s="77"/>
      <c r="J30" s="78"/>
      <c r="K30" s="78"/>
      <c r="L30" s="77"/>
      <c r="M30" s="77"/>
      <c r="N30" s="77"/>
      <c r="O30" s="77"/>
      <c r="P30" s="77"/>
      <c r="Q30" s="78"/>
      <c r="R30" s="78"/>
      <c r="S30" s="77"/>
      <c r="T30" s="77"/>
      <c r="U30" s="77"/>
      <c r="V30" s="77"/>
      <c r="W30" s="77"/>
      <c r="X30" s="78"/>
      <c r="Y30" s="78"/>
      <c r="Z30" s="77"/>
      <c r="AA30" s="77"/>
      <c r="AB30" s="77"/>
      <c r="AC30" s="77"/>
      <c r="AD30" s="77"/>
      <c r="AE30" s="78"/>
      <c r="AF30" s="78"/>
      <c r="AG30" s="77"/>
      <c r="AH30" s="77"/>
      <c r="AI30" s="77"/>
      <c r="AJ30" s="77"/>
      <c r="AK30" s="77"/>
      <c r="AL30" s="78"/>
      <c r="AM30" s="78"/>
      <c r="AN30" s="77"/>
      <c r="AO30" s="77"/>
      <c r="AP30" s="77"/>
      <c r="AQ30" s="77"/>
      <c r="AR30" s="77"/>
      <c r="AS30" s="78"/>
      <c r="AT30" s="78"/>
      <c r="AU30" s="77"/>
      <c r="AV30" s="77"/>
      <c r="AW30" s="77"/>
      <c r="AX30" s="77"/>
      <c r="AY30" s="105"/>
      <c r="AZ30" s="105"/>
      <c r="BA30" s="105"/>
      <c r="BB30" s="77"/>
      <c r="BC30" s="77"/>
      <c r="BD30" s="77"/>
      <c r="BE30" s="77"/>
      <c r="BF30" s="77"/>
      <c r="BG30" s="78"/>
      <c r="BH30" s="78"/>
      <c r="BI30" s="77"/>
      <c r="BJ30" s="77"/>
      <c r="BK30" s="77"/>
      <c r="BL30" s="77"/>
      <c r="BM30" s="77"/>
      <c r="BN30" s="78"/>
      <c r="BO30" s="78"/>
    </row>
    <row r="31" ht="21.75" customHeight="1">
      <c r="A31" s="83">
        <v>28.0</v>
      </c>
      <c r="B31" s="83" t="s">
        <v>313</v>
      </c>
      <c r="C31" s="85" t="s">
        <v>314</v>
      </c>
      <c r="D31" s="87" t="s">
        <v>57</v>
      </c>
      <c r="E31" s="77"/>
      <c r="F31" s="77"/>
      <c r="G31" s="77"/>
      <c r="H31" s="77"/>
      <c r="I31" s="77"/>
      <c r="J31" s="78"/>
      <c r="K31" s="78"/>
      <c r="L31" s="77"/>
      <c r="M31" s="77"/>
      <c r="N31" s="77"/>
      <c r="O31" s="77"/>
      <c r="P31" s="77"/>
      <c r="Q31" s="78"/>
      <c r="R31" s="78"/>
      <c r="S31" s="77"/>
      <c r="T31" s="77"/>
      <c r="U31" s="77"/>
      <c r="V31" s="77"/>
      <c r="W31" s="77"/>
      <c r="X31" s="78"/>
      <c r="Y31" s="78"/>
      <c r="Z31" s="77"/>
      <c r="AA31" s="77"/>
      <c r="AB31" s="77"/>
      <c r="AC31" s="77"/>
      <c r="AD31" s="77"/>
      <c r="AE31" s="78"/>
      <c r="AF31" s="78"/>
      <c r="AG31" s="77"/>
      <c r="AH31" s="77"/>
      <c r="AI31" s="77"/>
      <c r="AJ31" s="77"/>
      <c r="AK31" s="77"/>
      <c r="AL31" s="78"/>
      <c r="AM31" s="78"/>
      <c r="AN31" s="77"/>
      <c r="AO31" s="77"/>
      <c r="AP31" s="77"/>
      <c r="AQ31" s="77"/>
      <c r="AR31" s="77"/>
      <c r="AS31" s="78"/>
      <c r="AT31" s="78"/>
      <c r="AU31" s="77"/>
      <c r="AV31" s="77"/>
      <c r="AW31" s="77"/>
      <c r="AX31" s="77"/>
      <c r="AY31" s="77"/>
      <c r="AZ31" s="78"/>
      <c r="BA31" s="78"/>
      <c r="BB31" s="105"/>
      <c r="BC31" s="105"/>
      <c r="BD31" s="105"/>
      <c r="BE31" s="105"/>
      <c r="BF31" s="77"/>
      <c r="BG31" s="78"/>
      <c r="BH31" s="78"/>
      <c r="BI31" s="77"/>
      <c r="BJ31" s="77"/>
      <c r="BK31" s="77"/>
      <c r="BL31" s="77"/>
      <c r="BM31" s="77"/>
      <c r="BN31" s="78"/>
      <c r="BO31" s="78"/>
    </row>
    <row r="32" ht="21.75" customHeight="1">
      <c r="A32" s="61">
        <v>29.0</v>
      </c>
      <c r="B32" s="61" t="s">
        <v>319</v>
      </c>
      <c r="C32" s="62" t="s">
        <v>320</v>
      </c>
      <c r="D32" s="64" t="s">
        <v>57</v>
      </c>
      <c r="E32" s="77"/>
      <c r="F32" s="77"/>
      <c r="G32" s="77"/>
      <c r="H32" s="77"/>
      <c r="I32" s="77"/>
      <c r="J32" s="78"/>
      <c r="K32" s="78"/>
      <c r="L32" s="77"/>
      <c r="M32" s="77"/>
      <c r="N32" s="77"/>
      <c r="O32" s="77"/>
      <c r="P32" s="77"/>
      <c r="Q32" s="78"/>
      <c r="R32" s="78"/>
      <c r="S32" s="77"/>
      <c r="T32" s="77"/>
      <c r="U32" s="77"/>
      <c r="V32" s="77"/>
      <c r="W32" s="77"/>
      <c r="X32" s="78"/>
      <c r="Y32" s="78"/>
      <c r="Z32" s="77"/>
      <c r="AA32" s="77"/>
      <c r="AB32" s="77"/>
      <c r="AC32" s="77"/>
      <c r="AD32" s="77"/>
      <c r="AE32" s="78"/>
      <c r="AF32" s="78"/>
      <c r="AG32" s="77"/>
      <c r="AH32" s="77"/>
      <c r="AI32" s="77"/>
      <c r="AJ32" s="77"/>
      <c r="AK32" s="77"/>
      <c r="AL32" s="78"/>
      <c r="AM32" s="78"/>
      <c r="AN32" s="77"/>
      <c r="AO32" s="77"/>
      <c r="AP32" s="77"/>
      <c r="AQ32" s="77"/>
      <c r="AR32" s="77"/>
      <c r="AS32" s="78"/>
      <c r="AT32" s="78"/>
      <c r="AU32" s="77"/>
      <c r="AV32" s="77"/>
      <c r="AW32" s="77"/>
      <c r="AX32" s="77"/>
      <c r="AY32" s="77"/>
      <c r="AZ32" s="78"/>
      <c r="BA32" s="78"/>
      <c r="BB32" s="77"/>
      <c r="BC32" s="77"/>
      <c r="BD32" s="105"/>
      <c r="BE32" s="105"/>
      <c r="BF32" s="105"/>
      <c r="BG32" s="105"/>
      <c r="BH32" s="78"/>
      <c r="BI32" s="77"/>
      <c r="BJ32" s="77"/>
      <c r="BK32" s="77"/>
      <c r="BL32" s="77"/>
      <c r="BM32" s="77"/>
      <c r="BN32" s="78"/>
      <c r="BO32" s="78"/>
    </row>
    <row r="33" ht="21.75" customHeight="1">
      <c r="A33" s="83">
        <v>30.0</v>
      </c>
      <c r="B33" s="83" t="s">
        <v>324</v>
      </c>
      <c r="C33" s="85" t="s">
        <v>325</v>
      </c>
      <c r="D33" s="87" t="s">
        <v>114</v>
      </c>
      <c r="E33" s="77"/>
      <c r="F33" s="77"/>
      <c r="G33" s="77"/>
      <c r="H33" s="77"/>
      <c r="I33" s="77"/>
      <c r="J33" s="78"/>
      <c r="K33" s="78"/>
      <c r="L33" s="77"/>
      <c r="M33" s="77"/>
      <c r="N33" s="77"/>
      <c r="O33" s="77"/>
      <c r="P33" s="77"/>
      <c r="Q33" s="78"/>
      <c r="R33" s="78"/>
      <c r="S33" s="77"/>
      <c r="T33" s="77"/>
      <c r="U33" s="77"/>
      <c r="V33" s="77"/>
      <c r="W33" s="77"/>
      <c r="X33" s="78"/>
      <c r="Y33" s="78"/>
      <c r="Z33" s="77"/>
      <c r="AA33" s="77"/>
      <c r="AB33" s="77"/>
      <c r="AC33" s="77"/>
      <c r="AD33" s="77"/>
      <c r="AE33" s="78"/>
      <c r="AF33" s="78"/>
      <c r="AG33" s="77"/>
      <c r="AH33" s="77"/>
      <c r="AI33" s="77"/>
      <c r="AJ33" s="77"/>
      <c r="AK33" s="77"/>
      <c r="AL33" s="78"/>
      <c r="AM33" s="78"/>
      <c r="AN33" s="77"/>
      <c r="AO33" s="77"/>
      <c r="AP33" s="77"/>
      <c r="AQ33" s="77"/>
      <c r="AR33" s="77"/>
      <c r="AS33" s="78"/>
      <c r="AT33" s="78"/>
      <c r="AU33" s="77"/>
      <c r="AV33" s="77"/>
      <c r="AW33" s="77"/>
      <c r="AX33" s="77"/>
      <c r="AY33" s="77"/>
      <c r="AZ33" s="78"/>
      <c r="BA33" s="78"/>
      <c r="BB33" s="105"/>
      <c r="BC33" s="105"/>
      <c r="BD33" s="105"/>
      <c r="BE33" s="105"/>
      <c r="BF33" s="105"/>
      <c r="BG33" s="105"/>
      <c r="BH33" s="78"/>
      <c r="BI33" s="77"/>
      <c r="BJ33" s="77"/>
      <c r="BK33" s="77"/>
      <c r="BL33" s="77"/>
      <c r="BM33" s="77"/>
      <c r="BN33" s="78"/>
      <c r="BO33" s="78"/>
    </row>
    <row r="34" ht="21.75" customHeight="1">
      <c r="A34" s="61">
        <v>31.0</v>
      </c>
      <c r="B34" s="61" t="s">
        <v>167</v>
      </c>
      <c r="C34" s="62" t="s">
        <v>329</v>
      </c>
      <c r="D34" s="64" t="s">
        <v>158</v>
      </c>
      <c r="E34" s="77"/>
      <c r="F34" s="77"/>
      <c r="G34" s="77"/>
      <c r="H34" s="77"/>
      <c r="I34" s="77"/>
      <c r="J34" s="78"/>
      <c r="K34" s="78"/>
      <c r="L34" s="77"/>
      <c r="M34" s="77"/>
      <c r="N34" s="77"/>
      <c r="O34" s="77"/>
      <c r="P34" s="77"/>
      <c r="Q34" s="78"/>
      <c r="R34" s="78"/>
      <c r="S34" s="77"/>
      <c r="T34" s="77"/>
      <c r="U34" s="77"/>
      <c r="V34" s="77"/>
      <c r="W34" s="77"/>
      <c r="X34" s="78"/>
      <c r="Y34" s="78"/>
      <c r="Z34" s="77"/>
      <c r="AA34" s="77"/>
      <c r="AB34" s="77"/>
      <c r="AC34" s="77"/>
      <c r="AD34" s="77"/>
      <c r="AE34" s="78"/>
      <c r="AF34" s="78"/>
      <c r="AG34" s="77"/>
      <c r="AH34" s="77"/>
      <c r="AI34" s="77"/>
      <c r="AJ34" s="77"/>
      <c r="AK34" s="77"/>
      <c r="AL34" s="78"/>
      <c r="AM34" s="78"/>
      <c r="AN34" s="77"/>
      <c r="AO34" s="77"/>
      <c r="AP34" s="77"/>
      <c r="AQ34" s="77"/>
      <c r="AR34" s="77"/>
      <c r="AS34" s="78"/>
      <c r="AT34" s="78"/>
      <c r="AU34" s="77"/>
      <c r="AV34" s="77"/>
      <c r="AW34" s="77"/>
      <c r="AX34" s="77"/>
      <c r="AY34" s="77"/>
      <c r="AZ34" s="78"/>
      <c r="BA34" s="78"/>
      <c r="BB34" s="77"/>
      <c r="BC34" s="77"/>
      <c r="BD34" s="77"/>
      <c r="BE34" s="77"/>
      <c r="BF34" s="77"/>
      <c r="BG34" s="78"/>
      <c r="BH34" s="78"/>
      <c r="BI34" s="105"/>
      <c r="BJ34" s="105"/>
      <c r="BK34" s="105"/>
      <c r="BL34" s="105"/>
      <c r="BM34" s="105"/>
      <c r="BN34" s="78"/>
      <c r="BO34" s="78"/>
    </row>
    <row r="35" ht="21.75" customHeight="1">
      <c r="A35" s="83">
        <v>32.0</v>
      </c>
      <c r="B35" s="83" t="s">
        <v>336</v>
      </c>
      <c r="C35" s="85" t="s">
        <v>340</v>
      </c>
      <c r="D35" s="87" t="s">
        <v>158</v>
      </c>
      <c r="E35" s="77"/>
      <c r="F35" s="77"/>
      <c r="G35" s="77"/>
      <c r="H35" s="77"/>
      <c r="I35" s="77"/>
      <c r="J35" s="78"/>
      <c r="K35" s="78"/>
      <c r="L35" s="77"/>
      <c r="M35" s="77"/>
      <c r="N35" s="77"/>
      <c r="O35" s="77"/>
      <c r="P35" s="77"/>
      <c r="Q35" s="78"/>
      <c r="R35" s="78"/>
      <c r="S35" s="77"/>
      <c r="T35" s="77"/>
      <c r="U35" s="77"/>
      <c r="V35" s="77"/>
      <c r="W35" s="77"/>
      <c r="X35" s="78"/>
      <c r="Y35" s="78"/>
      <c r="Z35" s="77"/>
      <c r="AA35" s="77"/>
      <c r="AB35" s="77"/>
      <c r="AC35" s="77"/>
      <c r="AD35" s="77"/>
      <c r="AE35" s="78"/>
      <c r="AF35" s="78"/>
      <c r="AG35" s="77"/>
      <c r="AH35" s="77"/>
      <c r="AI35" s="77"/>
      <c r="AJ35" s="77"/>
      <c r="AK35" s="77"/>
      <c r="AL35" s="78"/>
      <c r="AM35" s="78"/>
      <c r="AN35" s="77"/>
      <c r="AO35" s="77"/>
      <c r="AP35" s="77"/>
      <c r="AQ35" s="77"/>
      <c r="AR35" s="77"/>
      <c r="AS35" s="78"/>
      <c r="AT35" s="78"/>
      <c r="AU35" s="77"/>
      <c r="AV35" s="77"/>
      <c r="AW35" s="77"/>
      <c r="AX35" s="77"/>
      <c r="AY35" s="77"/>
      <c r="AZ35" s="78"/>
      <c r="BA35" s="78"/>
      <c r="BB35" s="77"/>
      <c r="BC35" s="77"/>
      <c r="BD35" s="77"/>
      <c r="BE35" s="77"/>
      <c r="BF35" s="77"/>
      <c r="BG35" s="78"/>
      <c r="BH35" s="78"/>
      <c r="BI35" s="105"/>
      <c r="BJ35" s="105"/>
      <c r="BK35" s="105"/>
      <c r="BL35" s="105"/>
      <c r="BM35" s="105"/>
      <c r="BN35" s="105"/>
      <c r="BO35" s="105"/>
    </row>
    <row r="36" ht="13.5" customHeight="1"/>
    <row r="37" ht="13.5" customHeight="1"/>
    <row r="38" ht="13.5" customHeight="1">
      <c r="A38" s="69" t="s">
        <v>371</v>
      </c>
    </row>
    <row r="39" ht="13.5" customHeight="1">
      <c r="B39" s="123" t="s">
        <v>376</v>
      </c>
      <c r="C39" s="125" t="s">
        <v>47</v>
      </c>
    </row>
    <row r="40" ht="13.5" customHeight="1">
      <c r="B40" s="127" t="s">
        <v>376</v>
      </c>
      <c r="C40" s="125" t="s">
        <v>168</v>
      </c>
    </row>
    <row r="41" ht="13.5" customHeight="1">
      <c r="B41" s="128" t="s">
        <v>376</v>
      </c>
      <c r="C41" s="125" t="s">
        <v>379</v>
      </c>
    </row>
    <row r="42" ht="13.5" customHeight="1">
      <c r="B42" s="129" t="s">
        <v>376</v>
      </c>
      <c r="C42" s="125" t="s">
        <v>290</v>
      </c>
    </row>
    <row r="43" ht="13.5" customHeight="1">
      <c r="B43" s="130" t="s">
        <v>376</v>
      </c>
      <c r="C43" s="131"/>
    </row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11">
    <mergeCell ref="AU2:BA2"/>
    <mergeCell ref="BB2:BH2"/>
    <mergeCell ref="A38:D38"/>
    <mergeCell ref="A1:BO1"/>
    <mergeCell ref="E2:K2"/>
    <mergeCell ref="L2:R2"/>
    <mergeCell ref="S2:Y2"/>
    <mergeCell ref="Z2:AF2"/>
    <mergeCell ref="AG2:AM2"/>
    <mergeCell ref="AN2:AT2"/>
    <mergeCell ref="BI2:BO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6282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0.0"/>
    <col customWidth="1" min="2" max="2" width="45.0"/>
    <col customWidth="1" min="3" max="5" width="12.0"/>
    <col customWidth="1" min="6" max="6" width="40.0"/>
    <col customWidth="1" min="7" max="7" width="35.0"/>
    <col customWidth="1" min="8" max="9" width="12.0"/>
    <col customWidth="1" min="10" max="10" width="18.0"/>
    <col customWidth="1" min="11" max="11" width="13.0"/>
    <col customWidth="1" min="12" max="26" width="8.63"/>
  </cols>
  <sheetData>
    <row r="1" ht="13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4"/>
    </row>
    <row r="2" ht="13.5" customHeight="1">
      <c r="A2" s="7" t="s">
        <v>3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ht="13.5" customHeight="1">
      <c r="A3" s="8" t="s">
        <v>4</v>
      </c>
      <c r="B3" s="8" t="s">
        <v>6</v>
      </c>
      <c r="C3" s="8" t="s">
        <v>7</v>
      </c>
      <c r="D3" s="8" t="s">
        <v>8</v>
      </c>
      <c r="E3" s="8" t="s">
        <v>9</v>
      </c>
      <c r="F3" s="8" t="s">
        <v>10</v>
      </c>
      <c r="G3" s="8" t="s">
        <v>11</v>
      </c>
      <c r="H3" s="8" t="s">
        <v>13</v>
      </c>
      <c r="I3" s="8" t="s">
        <v>15</v>
      </c>
      <c r="J3" s="8" t="s">
        <v>16</v>
      </c>
      <c r="K3" s="8" t="s">
        <v>17</v>
      </c>
    </row>
    <row r="4" ht="45.0" customHeight="1">
      <c r="A4" s="11" t="s">
        <v>18</v>
      </c>
      <c r="B4" s="15" t="s">
        <v>21</v>
      </c>
      <c r="C4" s="20" t="s">
        <v>41</v>
      </c>
      <c r="D4" s="20" t="s">
        <v>41</v>
      </c>
      <c r="E4" s="24" t="s">
        <v>53</v>
      </c>
      <c r="F4" s="15" t="s">
        <v>56</v>
      </c>
      <c r="G4" s="15" t="s">
        <v>59</v>
      </c>
      <c r="H4" s="20" t="s">
        <v>57</v>
      </c>
      <c r="I4" s="20" t="s">
        <v>62</v>
      </c>
      <c r="J4" s="20" t="s">
        <v>63</v>
      </c>
      <c r="K4" s="32"/>
    </row>
    <row r="5" ht="45.0" customHeight="1">
      <c r="A5" s="37" t="s">
        <v>71</v>
      </c>
      <c r="B5" s="41" t="s">
        <v>77</v>
      </c>
      <c r="C5" s="43" t="s">
        <v>84</v>
      </c>
      <c r="D5" s="43" t="s">
        <v>41</v>
      </c>
      <c r="E5" s="46" t="s">
        <v>87</v>
      </c>
      <c r="F5" s="41" t="s">
        <v>90</v>
      </c>
      <c r="G5" s="41" t="s">
        <v>91</v>
      </c>
      <c r="H5" s="43" t="s">
        <v>57</v>
      </c>
      <c r="I5" s="43" t="s">
        <v>62</v>
      </c>
      <c r="J5" s="43" t="s">
        <v>94</v>
      </c>
      <c r="K5" s="55"/>
    </row>
    <row r="6" ht="45.0" customHeight="1">
      <c r="A6" s="11" t="s">
        <v>95</v>
      </c>
      <c r="B6" s="15" t="s">
        <v>97</v>
      </c>
      <c r="C6" s="20" t="s">
        <v>84</v>
      </c>
      <c r="D6" s="20" t="s">
        <v>108</v>
      </c>
      <c r="E6" s="46" t="s">
        <v>110</v>
      </c>
      <c r="F6" s="15" t="s">
        <v>111</v>
      </c>
      <c r="G6" s="15" t="s">
        <v>113</v>
      </c>
      <c r="H6" s="20" t="s">
        <v>114</v>
      </c>
      <c r="I6" s="20" t="s">
        <v>62</v>
      </c>
      <c r="J6" s="20" t="s">
        <v>115</v>
      </c>
      <c r="K6" s="32"/>
    </row>
    <row r="7" ht="45.0" customHeight="1">
      <c r="A7" s="37" t="s">
        <v>117</v>
      </c>
      <c r="B7" s="41" t="s">
        <v>120</v>
      </c>
      <c r="C7" s="43" t="s">
        <v>41</v>
      </c>
      <c r="D7" s="43" t="s">
        <v>84</v>
      </c>
      <c r="E7" s="46" t="s">
        <v>87</v>
      </c>
      <c r="F7" s="41" t="s">
        <v>123</v>
      </c>
      <c r="G7" s="41" t="s">
        <v>124</v>
      </c>
      <c r="H7" s="43" t="s">
        <v>57</v>
      </c>
      <c r="I7" s="43" t="s">
        <v>62</v>
      </c>
      <c r="J7" s="43" t="s">
        <v>125</v>
      </c>
      <c r="K7" s="55"/>
    </row>
    <row r="8" ht="45.0" customHeight="1">
      <c r="A8" s="11" t="s">
        <v>126</v>
      </c>
      <c r="B8" s="15" t="s">
        <v>129</v>
      </c>
      <c r="C8" s="20" t="s">
        <v>84</v>
      </c>
      <c r="D8" s="20" t="s">
        <v>41</v>
      </c>
      <c r="E8" s="46" t="s">
        <v>87</v>
      </c>
      <c r="F8" s="15" t="s">
        <v>132</v>
      </c>
      <c r="G8" s="15" t="s">
        <v>133</v>
      </c>
      <c r="H8" s="20" t="s">
        <v>54</v>
      </c>
      <c r="I8" s="20" t="s">
        <v>62</v>
      </c>
      <c r="J8" s="20" t="s">
        <v>135</v>
      </c>
      <c r="K8" s="32"/>
    </row>
    <row r="9" ht="45.0" customHeight="1">
      <c r="A9" s="37" t="s">
        <v>136</v>
      </c>
      <c r="B9" s="41" t="s">
        <v>137</v>
      </c>
      <c r="C9" s="43" t="s">
        <v>84</v>
      </c>
      <c r="D9" s="43" t="s">
        <v>84</v>
      </c>
      <c r="E9" s="66" t="s">
        <v>141</v>
      </c>
      <c r="F9" s="41" t="s">
        <v>154</v>
      </c>
      <c r="G9" s="41" t="s">
        <v>155</v>
      </c>
      <c r="H9" s="43" t="s">
        <v>54</v>
      </c>
      <c r="I9" s="43" t="s">
        <v>62</v>
      </c>
      <c r="J9" s="43" t="s">
        <v>159</v>
      </c>
      <c r="K9" s="55"/>
    </row>
    <row r="10" ht="45.0" customHeight="1">
      <c r="A10" s="11" t="s">
        <v>160</v>
      </c>
      <c r="B10" s="15" t="s">
        <v>161</v>
      </c>
      <c r="C10" s="20" t="s">
        <v>41</v>
      </c>
      <c r="D10" s="20" t="s">
        <v>41</v>
      </c>
      <c r="E10" s="24" t="s">
        <v>53</v>
      </c>
      <c r="F10" s="15" t="s">
        <v>162</v>
      </c>
      <c r="G10" s="15" t="s">
        <v>163</v>
      </c>
      <c r="H10" s="20" t="s">
        <v>158</v>
      </c>
      <c r="I10" s="20" t="s">
        <v>62</v>
      </c>
      <c r="J10" s="20" t="s">
        <v>167</v>
      </c>
      <c r="K10" s="32"/>
    </row>
    <row r="11" ht="45.0" customHeight="1">
      <c r="A11" s="37" t="s">
        <v>169</v>
      </c>
      <c r="B11" s="41" t="s">
        <v>170</v>
      </c>
      <c r="C11" s="43" t="s">
        <v>84</v>
      </c>
      <c r="D11" s="43" t="s">
        <v>108</v>
      </c>
      <c r="E11" s="46" t="s">
        <v>110</v>
      </c>
      <c r="F11" s="41" t="s">
        <v>171</v>
      </c>
      <c r="G11" s="41" t="s">
        <v>174</v>
      </c>
      <c r="H11" s="43" t="s">
        <v>114</v>
      </c>
      <c r="I11" s="43" t="s">
        <v>62</v>
      </c>
      <c r="J11" s="43" t="s">
        <v>176</v>
      </c>
      <c r="K11" s="55"/>
    </row>
    <row r="12" ht="13.5" customHeight="1"/>
    <row r="13" ht="13.5" customHeight="1"/>
    <row r="14" ht="13.5" customHeight="1">
      <c r="A14" s="69" t="s">
        <v>177</v>
      </c>
    </row>
    <row r="15" ht="13.5" customHeight="1">
      <c r="A15" s="70"/>
      <c r="B15" s="70" t="s">
        <v>184</v>
      </c>
      <c r="C15" s="70" t="s">
        <v>185</v>
      </c>
      <c r="D15" s="70" t="s">
        <v>186</v>
      </c>
      <c r="E15" s="70" t="s">
        <v>187</v>
      </c>
    </row>
    <row r="16" ht="13.5" customHeight="1">
      <c r="A16" s="11" t="s">
        <v>186</v>
      </c>
      <c r="B16" s="71">
        <v>3.0</v>
      </c>
      <c r="C16" s="72">
        <v>6.0</v>
      </c>
      <c r="D16" s="73">
        <v>9.0</v>
      </c>
      <c r="E16" s="73">
        <v>12.0</v>
      </c>
    </row>
    <row r="17" ht="13.5" customHeight="1">
      <c r="A17" s="11" t="s">
        <v>185</v>
      </c>
      <c r="B17" s="74">
        <v>2.0</v>
      </c>
      <c r="C17" s="71">
        <v>4.0</v>
      </c>
      <c r="D17" s="72">
        <v>6.0</v>
      </c>
      <c r="E17" s="72">
        <v>8.0</v>
      </c>
    </row>
    <row r="18" ht="13.5" customHeight="1">
      <c r="A18" s="11" t="s">
        <v>197</v>
      </c>
      <c r="B18" s="74">
        <v>1.0</v>
      </c>
      <c r="C18" s="74">
        <v>2.0</v>
      </c>
      <c r="D18" s="71">
        <v>3.0</v>
      </c>
      <c r="E18" s="71">
        <v>4.0</v>
      </c>
    </row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autoFilter ref="$A$3:$K$11"/>
  <mergeCells count="3">
    <mergeCell ref="A1:K1"/>
    <mergeCell ref="A2:K2"/>
    <mergeCell ref="A14:D14"/>
  </mergeCells>
  <conditionalFormatting sqref="I4:I11">
    <cfRule type="cellIs" dxfId="0" priority="1" operator="equal">
      <formula>"Occurred"</formula>
    </cfRule>
  </conditionalFormatting>
  <conditionalFormatting sqref="I4:I11">
    <cfRule type="cellIs" dxfId="1" priority="2" operator="equal">
      <formula>"Closed"</formula>
    </cfRule>
  </conditionalFormatting>
  <dataValidations>
    <dataValidation type="list" allowBlank="1" sqref="H4:H11">
      <formula1>"Duy,Tuân,Việt Anh,Cả nhóm"</formula1>
    </dataValidation>
    <dataValidation type="list" allowBlank="1" sqref="D4:D11">
      <formula1>"Low,Medium,High,Critical"</formula1>
    </dataValidation>
    <dataValidation type="list" allowBlank="1" sqref="C4:C11">
      <formula1>"Low,Medium,High"</formula1>
    </dataValidation>
    <dataValidation type="list" allowBlank="1" sqref="I4:I11">
      <formula1>"Open,Mitigated,Occurred,Closed"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1B9A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3.0"/>
    <col customWidth="1" min="2" max="2" width="20.0"/>
    <col customWidth="1" min="3" max="3" width="50.0"/>
    <col customWidth="1" min="4" max="4" width="7.25"/>
    <col customWidth="1" min="5" max="5" width="20.0"/>
    <col customWidth="1" min="6" max="6" width="50.0"/>
    <col customWidth="1" min="7" max="7" width="3.0"/>
    <col customWidth="1" min="8" max="26" width="8.63"/>
  </cols>
  <sheetData>
    <row r="1" ht="13.5" customHeight="1">
      <c r="A1" s="1" t="s">
        <v>352</v>
      </c>
      <c r="B1" s="2"/>
      <c r="C1" s="2"/>
      <c r="D1" s="2"/>
      <c r="E1" s="2"/>
      <c r="F1" s="2"/>
      <c r="G1" s="4"/>
    </row>
    <row r="2" ht="13.5" customHeight="1">
      <c r="A2" s="7" t="s">
        <v>353</v>
      </c>
      <c r="B2" s="2"/>
      <c r="C2" s="2"/>
      <c r="D2" s="2"/>
      <c r="E2" s="2"/>
      <c r="F2" s="2"/>
      <c r="G2" s="4"/>
    </row>
    <row r="3" ht="13.5" customHeight="1"/>
    <row r="4" ht="13.5" customHeight="1">
      <c r="B4" s="99" t="s">
        <v>354</v>
      </c>
      <c r="C4" s="27"/>
      <c r="D4" s="27"/>
      <c r="E4" s="27"/>
      <c r="F4" s="30"/>
    </row>
    <row r="5" ht="13.5" customHeight="1">
      <c r="B5" s="100" t="s">
        <v>355</v>
      </c>
      <c r="C5" s="101">
        <v>46262.0</v>
      </c>
      <c r="E5" s="100" t="s">
        <v>356</v>
      </c>
      <c r="F5" s="15" t="s">
        <v>357</v>
      </c>
    </row>
    <row r="6" ht="13.5" customHeight="1">
      <c r="B6" s="102" t="s">
        <v>358</v>
      </c>
      <c r="C6" s="103"/>
      <c r="E6" s="104" t="s">
        <v>359</v>
      </c>
      <c r="F6" s="106"/>
    </row>
    <row r="7" ht="13.5" customHeight="1">
      <c r="B7" s="107" t="s">
        <v>360</v>
      </c>
      <c r="C7" s="108"/>
      <c r="E7" s="109" t="s">
        <v>360</v>
      </c>
      <c r="F7" s="110"/>
    </row>
    <row r="8" ht="13.5" customHeight="1">
      <c r="B8" s="107" t="s">
        <v>361</v>
      </c>
      <c r="C8" s="108"/>
      <c r="E8" s="109" t="s">
        <v>361</v>
      </c>
      <c r="F8" s="110"/>
    </row>
    <row r="9" ht="13.5" customHeight="1">
      <c r="B9" s="107" t="s">
        <v>362</v>
      </c>
      <c r="C9" s="108"/>
      <c r="E9" s="109" t="s">
        <v>362</v>
      </c>
      <c r="F9" s="110"/>
    </row>
    <row r="10" ht="13.5" customHeight="1">
      <c r="B10" s="107" t="s">
        <v>363</v>
      </c>
      <c r="C10" s="108"/>
      <c r="E10" s="109" t="s">
        <v>363</v>
      </c>
      <c r="F10" s="110"/>
    </row>
    <row r="11" ht="13.5" customHeight="1">
      <c r="B11" s="107" t="s">
        <v>364</v>
      </c>
      <c r="C11" s="108"/>
      <c r="E11" s="109" t="s">
        <v>364</v>
      </c>
      <c r="F11" s="110"/>
    </row>
    <row r="12" ht="13.5" customHeight="1">
      <c r="B12" s="111" t="s">
        <v>365</v>
      </c>
      <c r="C12" s="48"/>
      <c r="E12" s="112" t="s">
        <v>366</v>
      </c>
      <c r="F12" s="113"/>
    </row>
    <row r="13" ht="13.5" customHeight="1">
      <c r="B13" s="114" t="s">
        <v>360</v>
      </c>
      <c r="C13" s="115"/>
      <c r="E13" s="116" t="s">
        <v>360</v>
      </c>
      <c r="F13" s="117"/>
    </row>
    <row r="14" ht="13.5" customHeight="1">
      <c r="B14" s="114" t="s">
        <v>361</v>
      </c>
      <c r="C14" s="115"/>
      <c r="E14" s="116" t="s">
        <v>361</v>
      </c>
      <c r="F14" s="117"/>
    </row>
    <row r="15" ht="13.5" customHeight="1">
      <c r="B15" s="114" t="s">
        <v>362</v>
      </c>
      <c r="C15" s="115"/>
      <c r="E15" s="116" t="s">
        <v>362</v>
      </c>
      <c r="F15" s="117"/>
    </row>
    <row r="16" ht="13.5" customHeight="1">
      <c r="B16" s="114" t="s">
        <v>363</v>
      </c>
      <c r="C16" s="115"/>
      <c r="E16" s="116" t="s">
        <v>363</v>
      </c>
      <c r="F16" s="117"/>
    </row>
    <row r="17" ht="13.5" customHeight="1">
      <c r="B17" s="114" t="s">
        <v>364</v>
      </c>
      <c r="C17" s="115"/>
      <c r="E17" s="116" t="s">
        <v>364</v>
      </c>
      <c r="F17" s="117"/>
    </row>
    <row r="18" ht="13.5" customHeight="1">
      <c r="B18" s="118" t="s">
        <v>367</v>
      </c>
      <c r="C18" s="27"/>
      <c r="D18" s="27"/>
      <c r="E18" s="27"/>
      <c r="F18" s="30"/>
    </row>
    <row r="19" ht="13.5" customHeight="1">
      <c r="B19" s="119"/>
      <c r="C19" s="119" t="s">
        <v>368</v>
      </c>
      <c r="D19" s="119" t="s">
        <v>13</v>
      </c>
      <c r="E19" s="119"/>
      <c r="F19" s="119" t="s">
        <v>369</v>
      </c>
    </row>
    <row r="20" ht="13.5" customHeight="1">
      <c r="B20" s="120" t="s">
        <v>360</v>
      </c>
      <c r="C20" s="120"/>
      <c r="D20" s="120"/>
      <c r="E20" s="120"/>
      <c r="F20" s="120"/>
    </row>
    <row r="21" ht="13.5" customHeight="1">
      <c r="B21" s="120" t="s">
        <v>361</v>
      </c>
      <c r="C21" s="120"/>
      <c r="D21" s="120"/>
      <c r="E21" s="120"/>
      <c r="F21" s="120"/>
    </row>
    <row r="22" ht="13.5" customHeight="1">
      <c r="B22" s="120" t="s">
        <v>362</v>
      </c>
      <c r="C22" s="120"/>
      <c r="D22" s="120"/>
      <c r="E22" s="120"/>
      <c r="F22" s="120"/>
    </row>
    <row r="23" ht="13.5" customHeight="1"/>
    <row r="24" ht="13.5" customHeight="1"/>
    <row r="25" ht="13.5" customHeight="1">
      <c r="B25" s="99" t="s">
        <v>370</v>
      </c>
      <c r="C25" s="27"/>
      <c r="D25" s="27"/>
      <c r="E25" s="27"/>
      <c r="F25" s="30"/>
    </row>
    <row r="26" ht="13.5" customHeight="1">
      <c r="B26" s="100" t="s">
        <v>355</v>
      </c>
      <c r="C26" s="101">
        <v>46269.0</v>
      </c>
      <c r="E26" s="100" t="s">
        <v>356</v>
      </c>
      <c r="F26" s="15" t="s">
        <v>357</v>
      </c>
    </row>
    <row r="27" ht="13.5" customHeight="1">
      <c r="B27" s="102" t="s">
        <v>358</v>
      </c>
      <c r="C27" s="103"/>
      <c r="E27" s="104" t="s">
        <v>359</v>
      </c>
      <c r="F27" s="106"/>
    </row>
    <row r="28" ht="13.5" customHeight="1">
      <c r="B28" s="107" t="s">
        <v>360</v>
      </c>
      <c r="C28" s="108"/>
      <c r="E28" s="109" t="s">
        <v>360</v>
      </c>
      <c r="F28" s="110"/>
    </row>
    <row r="29" ht="13.5" customHeight="1">
      <c r="B29" s="107" t="s">
        <v>361</v>
      </c>
      <c r="C29" s="108"/>
      <c r="E29" s="109" t="s">
        <v>361</v>
      </c>
      <c r="F29" s="110"/>
    </row>
    <row r="30" ht="13.5" customHeight="1">
      <c r="B30" s="107" t="s">
        <v>362</v>
      </c>
      <c r="C30" s="108"/>
      <c r="E30" s="109" t="s">
        <v>362</v>
      </c>
      <c r="F30" s="110"/>
    </row>
    <row r="31" ht="13.5" customHeight="1">
      <c r="B31" s="107" t="s">
        <v>363</v>
      </c>
      <c r="C31" s="108"/>
      <c r="E31" s="109" t="s">
        <v>363</v>
      </c>
      <c r="F31" s="110"/>
    </row>
    <row r="32" ht="13.5" customHeight="1">
      <c r="B32" s="107" t="s">
        <v>364</v>
      </c>
      <c r="C32" s="108"/>
      <c r="E32" s="109" t="s">
        <v>364</v>
      </c>
      <c r="F32" s="110"/>
    </row>
    <row r="33" ht="13.5" customHeight="1">
      <c r="B33" s="111" t="s">
        <v>365</v>
      </c>
      <c r="C33" s="48"/>
      <c r="E33" s="112" t="s">
        <v>366</v>
      </c>
      <c r="F33" s="113"/>
    </row>
    <row r="34" ht="13.5" customHeight="1">
      <c r="B34" s="114" t="s">
        <v>360</v>
      </c>
      <c r="C34" s="115"/>
      <c r="E34" s="116" t="s">
        <v>360</v>
      </c>
      <c r="F34" s="117"/>
    </row>
    <row r="35" ht="13.5" customHeight="1">
      <c r="B35" s="114" t="s">
        <v>361</v>
      </c>
      <c r="C35" s="115"/>
      <c r="E35" s="116" t="s">
        <v>361</v>
      </c>
      <c r="F35" s="117"/>
    </row>
    <row r="36" ht="13.5" customHeight="1">
      <c r="B36" s="114" t="s">
        <v>362</v>
      </c>
      <c r="C36" s="115"/>
      <c r="E36" s="116" t="s">
        <v>362</v>
      </c>
      <c r="F36" s="117"/>
    </row>
    <row r="37" ht="13.5" customHeight="1">
      <c r="B37" s="114" t="s">
        <v>363</v>
      </c>
      <c r="C37" s="115"/>
      <c r="E37" s="116" t="s">
        <v>363</v>
      </c>
      <c r="F37" s="117"/>
    </row>
    <row r="38" ht="13.5" customHeight="1">
      <c r="B38" s="114" t="s">
        <v>364</v>
      </c>
      <c r="C38" s="115"/>
      <c r="E38" s="116" t="s">
        <v>364</v>
      </c>
      <c r="F38" s="117"/>
    </row>
    <row r="39" ht="13.5" customHeight="1">
      <c r="B39" s="118" t="s">
        <v>367</v>
      </c>
      <c r="C39" s="27"/>
      <c r="D39" s="27"/>
      <c r="E39" s="27"/>
      <c r="F39" s="30"/>
    </row>
    <row r="40" ht="13.5" customHeight="1">
      <c r="B40" s="119"/>
      <c r="C40" s="119" t="s">
        <v>368</v>
      </c>
      <c r="D40" s="119" t="s">
        <v>13</v>
      </c>
      <c r="E40" s="119"/>
      <c r="F40" s="119" t="s">
        <v>369</v>
      </c>
    </row>
    <row r="41" ht="13.5" customHeight="1">
      <c r="B41" s="120" t="s">
        <v>360</v>
      </c>
      <c r="C41" s="120"/>
      <c r="D41" s="120"/>
      <c r="E41" s="120"/>
      <c r="F41" s="120"/>
    </row>
    <row r="42" ht="13.5" customHeight="1">
      <c r="B42" s="120" t="s">
        <v>361</v>
      </c>
      <c r="C42" s="120"/>
      <c r="D42" s="120"/>
      <c r="E42" s="120"/>
      <c r="F42" s="120"/>
    </row>
    <row r="43" ht="13.5" customHeight="1">
      <c r="B43" s="120" t="s">
        <v>362</v>
      </c>
      <c r="C43" s="120"/>
      <c r="D43" s="120"/>
      <c r="E43" s="120"/>
      <c r="F43" s="120"/>
    </row>
    <row r="44" ht="13.5" customHeight="1"/>
    <row r="45" ht="13.5" customHeight="1"/>
    <row r="46" ht="13.5" customHeight="1">
      <c r="B46" s="99" t="s">
        <v>382</v>
      </c>
      <c r="C46" s="27"/>
      <c r="D46" s="27"/>
      <c r="E46" s="27"/>
      <c r="F46" s="30"/>
    </row>
    <row r="47" ht="13.5" customHeight="1">
      <c r="B47" s="100" t="s">
        <v>355</v>
      </c>
      <c r="C47" s="101">
        <v>46276.0</v>
      </c>
      <c r="E47" s="100" t="s">
        <v>356</v>
      </c>
      <c r="F47" s="15" t="s">
        <v>357</v>
      </c>
    </row>
    <row r="48" ht="13.5" customHeight="1">
      <c r="B48" s="102" t="s">
        <v>358</v>
      </c>
      <c r="C48" s="103"/>
      <c r="E48" s="104" t="s">
        <v>359</v>
      </c>
      <c r="F48" s="106"/>
    </row>
    <row r="49" ht="13.5" customHeight="1">
      <c r="B49" s="107" t="s">
        <v>360</v>
      </c>
      <c r="C49" s="108"/>
      <c r="E49" s="109" t="s">
        <v>360</v>
      </c>
      <c r="F49" s="110"/>
    </row>
    <row r="50" ht="13.5" customHeight="1">
      <c r="B50" s="107" t="s">
        <v>361</v>
      </c>
      <c r="C50" s="108"/>
      <c r="E50" s="109" t="s">
        <v>361</v>
      </c>
      <c r="F50" s="110"/>
    </row>
    <row r="51" ht="13.5" customHeight="1">
      <c r="B51" s="107" t="s">
        <v>362</v>
      </c>
      <c r="C51" s="108"/>
      <c r="E51" s="109" t="s">
        <v>362</v>
      </c>
      <c r="F51" s="110"/>
    </row>
    <row r="52" ht="13.5" customHeight="1">
      <c r="B52" s="107" t="s">
        <v>363</v>
      </c>
      <c r="C52" s="108"/>
      <c r="E52" s="109" t="s">
        <v>363</v>
      </c>
      <c r="F52" s="110"/>
    </row>
    <row r="53" ht="13.5" customHeight="1">
      <c r="B53" s="107" t="s">
        <v>364</v>
      </c>
      <c r="C53" s="108"/>
      <c r="E53" s="109" t="s">
        <v>364</v>
      </c>
      <c r="F53" s="110"/>
    </row>
    <row r="54" ht="13.5" customHeight="1">
      <c r="B54" s="111" t="s">
        <v>365</v>
      </c>
      <c r="C54" s="48"/>
      <c r="E54" s="112" t="s">
        <v>366</v>
      </c>
      <c r="F54" s="113"/>
    </row>
    <row r="55" ht="13.5" customHeight="1">
      <c r="B55" s="114" t="s">
        <v>360</v>
      </c>
      <c r="C55" s="115"/>
      <c r="E55" s="116" t="s">
        <v>360</v>
      </c>
      <c r="F55" s="117"/>
    </row>
    <row r="56" ht="13.5" customHeight="1">
      <c r="B56" s="114" t="s">
        <v>361</v>
      </c>
      <c r="C56" s="115"/>
      <c r="E56" s="116" t="s">
        <v>361</v>
      </c>
      <c r="F56" s="117"/>
    </row>
    <row r="57" ht="13.5" customHeight="1">
      <c r="B57" s="114" t="s">
        <v>362</v>
      </c>
      <c r="C57" s="115"/>
      <c r="E57" s="116" t="s">
        <v>362</v>
      </c>
      <c r="F57" s="117"/>
    </row>
    <row r="58" ht="13.5" customHeight="1">
      <c r="B58" s="114" t="s">
        <v>363</v>
      </c>
      <c r="C58" s="115"/>
      <c r="E58" s="116" t="s">
        <v>363</v>
      </c>
      <c r="F58" s="117"/>
    </row>
    <row r="59" ht="13.5" customHeight="1">
      <c r="B59" s="114" t="s">
        <v>364</v>
      </c>
      <c r="C59" s="115"/>
      <c r="E59" s="116" t="s">
        <v>364</v>
      </c>
      <c r="F59" s="117"/>
    </row>
    <row r="60" ht="13.5" customHeight="1">
      <c r="B60" s="118" t="s">
        <v>367</v>
      </c>
      <c r="C60" s="27"/>
      <c r="D60" s="27"/>
      <c r="E60" s="27"/>
      <c r="F60" s="30"/>
    </row>
    <row r="61" ht="13.5" customHeight="1">
      <c r="B61" s="119"/>
      <c r="C61" s="119" t="s">
        <v>368</v>
      </c>
      <c r="D61" s="119" t="s">
        <v>13</v>
      </c>
      <c r="E61" s="119"/>
      <c r="F61" s="119" t="s">
        <v>369</v>
      </c>
    </row>
    <row r="62" ht="13.5" customHeight="1">
      <c r="B62" s="120" t="s">
        <v>360</v>
      </c>
      <c r="C62" s="120"/>
      <c r="D62" s="120"/>
      <c r="E62" s="120"/>
      <c r="F62" s="120"/>
    </row>
    <row r="63" ht="13.5" customHeight="1">
      <c r="B63" s="120" t="s">
        <v>361</v>
      </c>
      <c r="C63" s="120"/>
      <c r="D63" s="120"/>
      <c r="E63" s="120"/>
      <c r="F63" s="120"/>
    </row>
    <row r="64" ht="13.5" customHeight="1">
      <c r="B64" s="120" t="s">
        <v>362</v>
      </c>
      <c r="C64" s="120"/>
      <c r="D64" s="120"/>
      <c r="E64" s="120"/>
      <c r="F64" s="120"/>
    </row>
    <row r="65" ht="13.5" customHeight="1"/>
    <row r="66" ht="13.5" customHeight="1"/>
    <row r="67" ht="13.5" customHeight="1">
      <c r="B67" s="99" t="s">
        <v>388</v>
      </c>
      <c r="C67" s="27"/>
      <c r="D67" s="27"/>
      <c r="E67" s="27"/>
      <c r="F67" s="30"/>
    </row>
    <row r="68" ht="13.5" customHeight="1">
      <c r="B68" s="100" t="s">
        <v>355</v>
      </c>
      <c r="C68" s="101">
        <v>46283.0</v>
      </c>
      <c r="E68" s="100" t="s">
        <v>356</v>
      </c>
      <c r="F68" s="15" t="s">
        <v>357</v>
      </c>
    </row>
    <row r="69" ht="13.5" customHeight="1">
      <c r="B69" s="102" t="s">
        <v>358</v>
      </c>
      <c r="C69" s="103"/>
      <c r="E69" s="104" t="s">
        <v>359</v>
      </c>
      <c r="F69" s="106"/>
    </row>
    <row r="70" ht="13.5" customHeight="1">
      <c r="B70" s="107" t="s">
        <v>360</v>
      </c>
      <c r="C70" s="108"/>
      <c r="E70" s="109" t="s">
        <v>360</v>
      </c>
      <c r="F70" s="110"/>
    </row>
    <row r="71" ht="13.5" customHeight="1">
      <c r="B71" s="107" t="s">
        <v>361</v>
      </c>
      <c r="C71" s="108"/>
      <c r="E71" s="109" t="s">
        <v>361</v>
      </c>
      <c r="F71" s="110"/>
    </row>
    <row r="72" ht="13.5" customHeight="1">
      <c r="B72" s="107" t="s">
        <v>362</v>
      </c>
      <c r="C72" s="108"/>
      <c r="E72" s="109" t="s">
        <v>362</v>
      </c>
      <c r="F72" s="110"/>
    </row>
    <row r="73" ht="13.5" customHeight="1">
      <c r="B73" s="107" t="s">
        <v>363</v>
      </c>
      <c r="C73" s="108"/>
      <c r="E73" s="109" t="s">
        <v>363</v>
      </c>
      <c r="F73" s="110"/>
    </row>
    <row r="74" ht="13.5" customHeight="1">
      <c r="B74" s="107" t="s">
        <v>364</v>
      </c>
      <c r="C74" s="108"/>
      <c r="E74" s="109" t="s">
        <v>364</v>
      </c>
      <c r="F74" s="110"/>
    </row>
    <row r="75" ht="13.5" customHeight="1">
      <c r="B75" s="111" t="s">
        <v>365</v>
      </c>
      <c r="C75" s="48"/>
      <c r="E75" s="112" t="s">
        <v>366</v>
      </c>
      <c r="F75" s="113"/>
    </row>
    <row r="76" ht="13.5" customHeight="1">
      <c r="B76" s="114" t="s">
        <v>360</v>
      </c>
      <c r="C76" s="115"/>
      <c r="E76" s="116" t="s">
        <v>360</v>
      </c>
      <c r="F76" s="117"/>
    </row>
    <row r="77" ht="13.5" customHeight="1">
      <c r="B77" s="114" t="s">
        <v>361</v>
      </c>
      <c r="C77" s="115"/>
      <c r="E77" s="116" t="s">
        <v>361</v>
      </c>
      <c r="F77" s="117"/>
    </row>
    <row r="78" ht="13.5" customHeight="1">
      <c r="B78" s="114" t="s">
        <v>362</v>
      </c>
      <c r="C78" s="115"/>
      <c r="E78" s="116" t="s">
        <v>362</v>
      </c>
      <c r="F78" s="117"/>
    </row>
    <row r="79" ht="13.5" customHeight="1">
      <c r="B79" s="114" t="s">
        <v>363</v>
      </c>
      <c r="C79" s="115"/>
      <c r="E79" s="116" t="s">
        <v>363</v>
      </c>
      <c r="F79" s="117"/>
    </row>
    <row r="80" ht="13.5" customHeight="1">
      <c r="B80" s="114" t="s">
        <v>364</v>
      </c>
      <c r="C80" s="115"/>
      <c r="E80" s="116" t="s">
        <v>364</v>
      </c>
      <c r="F80" s="117"/>
    </row>
    <row r="81" ht="13.5" customHeight="1">
      <c r="B81" s="118" t="s">
        <v>367</v>
      </c>
      <c r="C81" s="27"/>
      <c r="D81" s="27"/>
      <c r="E81" s="27"/>
      <c r="F81" s="30"/>
    </row>
    <row r="82" ht="13.5" customHeight="1">
      <c r="B82" s="119"/>
      <c r="C82" s="119" t="s">
        <v>368</v>
      </c>
      <c r="D82" s="119" t="s">
        <v>13</v>
      </c>
      <c r="E82" s="119"/>
      <c r="F82" s="119" t="s">
        <v>369</v>
      </c>
    </row>
    <row r="83" ht="13.5" customHeight="1">
      <c r="B83" s="120" t="s">
        <v>360</v>
      </c>
      <c r="C83" s="120"/>
      <c r="D83" s="120"/>
      <c r="E83" s="120"/>
      <c r="F83" s="120"/>
    </row>
    <row r="84" ht="13.5" customHeight="1">
      <c r="B84" s="120" t="s">
        <v>361</v>
      </c>
      <c r="C84" s="120"/>
      <c r="D84" s="120"/>
      <c r="E84" s="120"/>
      <c r="F84" s="120"/>
    </row>
    <row r="85" ht="13.5" customHeight="1">
      <c r="B85" s="120" t="s">
        <v>362</v>
      </c>
      <c r="C85" s="120"/>
      <c r="D85" s="120"/>
      <c r="E85" s="120"/>
      <c r="F85" s="120"/>
    </row>
    <row r="86" ht="13.5" customHeight="1"/>
    <row r="87" ht="13.5" customHeight="1"/>
    <row r="88" ht="13.5" customHeight="1">
      <c r="B88" s="99" t="s">
        <v>395</v>
      </c>
      <c r="C88" s="27"/>
      <c r="D88" s="27"/>
      <c r="E88" s="27"/>
      <c r="F88" s="30"/>
    </row>
    <row r="89" ht="13.5" customHeight="1">
      <c r="B89" s="100" t="s">
        <v>355</v>
      </c>
      <c r="C89" s="101">
        <v>46290.0</v>
      </c>
      <c r="E89" s="100" t="s">
        <v>356</v>
      </c>
      <c r="F89" s="15" t="s">
        <v>357</v>
      </c>
    </row>
    <row r="90" ht="13.5" customHeight="1">
      <c r="B90" s="102" t="s">
        <v>358</v>
      </c>
      <c r="C90" s="103"/>
      <c r="E90" s="104" t="s">
        <v>359</v>
      </c>
      <c r="F90" s="106"/>
    </row>
    <row r="91" ht="13.5" customHeight="1">
      <c r="B91" s="107" t="s">
        <v>360</v>
      </c>
      <c r="C91" s="108"/>
      <c r="E91" s="109" t="s">
        <v>360</v>
      </c>
      <c r="F91" s="110"/>
    </row>
    <row r="92" ht="13.5" customHeight="1">
      <c r="B92" s="107" t="s">
        <v>361</v>
      </c>
      <c r="C92" s="108"/>
      <c r="E92" s="109" t="s">
        <v>361</v>
      </c>
      <c r="F92" s="110"/>
    </row>
    <row r="93" ht="13.5" customHeight="1">
      <c r="B93" s="107" t="s">
        <v>362</v>
      </c>
      <c r="C93" s="108"/>
      <c r="E93" s="109" t="s">
        <v>362</v>
      </c>
      <c r="F93" s="110"/>
    </row>
    <row r="94" ht="13.5" customHeight="1">
      <c r="B94" s="107" t="s">
        <v>363</v>
      </c>
      <c r="C94" s="108"/>
      <c r="E94" s="109" t="s">
        <v>363</v>
      </c>
      <c r="F94" s="110"/>
    </row>
    <row r="95" ht="13.5" customHeight="1">
      <c r="B95" s="107" t="s">
        <v>364</v>
      </c>
      <c r="C95" s="108"/>
      <c r="E95" s="109" t="s">
        <v>364</v>
      </c>
      <c r="F95" s="110"/>
    </row>
    <row r="96" ht="13.5" customHeight="1">
      <c r="B96" s="111" t="s">
        <v>365</v>
      </c>
      <c r="C96" s="48"/>
      <c r="E96" s="112" t="s">
        <v>366</v>
      </c>
      <c r="F96" s="113"/>
    </row>
    <row r="97" ht="13.5" customHeight="1">
      <c r="B97" s="114" t="s">
        <v>360</v>
      </c>
      <c r="C97" s="115"/>
      <c r="E97" s="116" t="s">
        <v>360</v>
      </c>
      <c r="F97" s="117"/>
    </row>
    <row r="98" ht="13.5" customHeight="1">
      <c r="B98" s="114" t="s">
        <v>361</v>
      </c>
      <c r="C98" s="115"/>
      <c r="E98" s="116" t="s">
        <v>361</v>
      </c>
      <c r="F98" s="117"/>
    </row>
    <row r="99" ht="13.5" customHeight="1">
      <c r="B99" s="114" t="s">
        <v>362</v>
      </c>
      <c r="C99" s="115"/>
      <c r="E99" s="116" t="s">
        <v>362</v>
      </c>
      <c r="F99" s="117"/>
    </row>
    <row r="100" ht="13.5" customHeight="1">
      <c r="B100" s="114" t="s">
        <v>363</v>
      </c>
      <c r="C100" s="115"/>
      <c r="E100" s="116" t="s">
        <v>363</v>
      </c>
      <c r="F100" s="117"/>
    </row>
    <row r="101" ht="13.5" customHeight="1">
      <c r="B101" s="114" t="s">
        <v>364</v>
      </c>
      <c r="C101" s="115"/>
      <c r="E101" s="116" t="s">
        <v>364</v>
      </c>
      <c r="F101" s="117"/>
    </row>
    <row r="102" ht="13.5" customHeight="1">
      <c r="B102" s="118" t="s">
        <v>367</v>
      </c>
      <c r="C102" s="27"/>
      <c r="D102" s="27"/>
      <c r="E102" s="27"/>
      <c r="F102" s="30"/>
    </row>
    <row r="103" ht="13.5" customHeight="1">
      <c r="B103" s="119"/>
      <c r="C103" s="119" t="s">
        <v>368</v>
      </c>
      <c r="D103" s="119" t="s">
        <v>13</v>
      </c>
      <c r="E103" s="119"/>
      <c r="F103" s="119" t="s">
        <v>369</v>
      </c>
    </row>
    <row r="104" ht="13.5" customHeight="1">
      <c r="B104" s="120" t="s">
        <v>360</v>
      </c>
      <c r="C104" s="120"/>
      <c r="D104" s="120"/>
      <c r="E104" s="120"/>
      <c r="F104" s="120"/>
    </row>
    <row r="105" ht="13.5" customHeight="1">
      <c r="B105" s="120" t="s">
        <v>361</v>
      </c>
      <c r="C105" s="120"/>
      <c r="D105" s="120"/>
      <c r="E105" s="120"/>
      <c r="F105" s="120"/>
    </row>
    <row r="106" ht="13.5" customHeight="1">
      <c r="B106" s="120" t="s">
        <v>362</v>
      </c>
      <c r="C106" s="120"/>
      <c r="D106" s="120"/>
      <c r="E106" s="120"/>
      <c r="F106" s="120"/>
    </row>
    <row r="107" ht="13.5" customHeight="1"/>
    <row r="108" ht="13.5" customHeight="1"/>
    <row r="109" ht="13.5" customHeight="1">
      <c r="B109" s="99" t="s">
        <v>400</v>
      </c>
      <c r="C109" s="27"/>
      <c r="D109" s="27"/>
      <c r="E109" s="27"/>
      <c r="F109" s="30"/>
    </row>
    <row r="110" ht="13.5" customHeight="1">
      <c r="B110" s="100" t="s">
        <v>355</v>
      </c>
      <c r="C110" s="101">
        <v>46297.0</v>
      </c>
      <c r="E110" s="100" t="s">
        <v>356</v>
      </c>
      <c r="F110" s="15" t="s">
        <v>357</v>
      </c>
    </row>
    <row r="111" ht="13.5" customHeight="1">
      <c r="B111" s="102" t="s">
        <v>358</v>
      </c>
      <c r="C111" s="103"/>
      <c r="E111" s="104" t="s">
        <v>359</v>
      </c>
      <c r="F111" s="106"/>
    </row>
    <row r="112" ht="13.5" customHeight="1">
      <c r="B112" s="107" t="s">
        <v>360</v>
      </c>
      <c r="C112" s="108"/>
      <c r="E112" s="109" t="s">
        <v>360</v>
      </c>
      <c r="F112" s="110"/>
    </row>
    <row r="113" ht="13.5" customHeight="1">
      <c r="B113" s="107" t="s">
        <v>361</v>
      </c>
      <c r="C113" s="108"/>
      <c r="E113" s="109" t="s">
        <v>361</v>
      </c>
      <c r="F113" s="110"/>
    </row>
    <row r="114" ht="13.5" customHeight="1">
      <c r="B114" s="107" t="s">
        <v>362</v>
      </c>
      <c r="C114" s="108"/>
      <c r="E114" s="109" t="s">
        <v>362</v>
      </c>
      <c r="F114" s="110"/>
    </row>
    <row r="115" ht="13.5" customHeight="1">
      <c r="B115" s="107" t="s">
        <v>363</v>
      </c>
      <c r="C115" s="108"/>
      <c r="E115" s="109" t="s">
        <v>363</v>
      </c>
      <c r="F115" s="110"/>
    </row>
    <row r="116" ht="13.5" customHeight="1">
      <c r="B116" s="107" t="s">
        <v>364</v>
      </c>
      <c r="C116" s="108"/>
      <c r="E116" s="109" t="s">
        <v>364</v>
      </c>
      <c r="F116" s="110"/>
    </row>
    <row r="117" ht="13.5" customHeight="1">
      <c r="B117" s="111" t="s">
        <v>365</v>
      </c>
      <c r="C117" s="48"/>
      <c r="E117" s="112" t="s">
        <v>366</v>
      </c>
      <c r="F117" s="113"/>
    </row>
    <row r="118" ht="13.5" customHeight="1">
      <c r="B118" s="114" t="s">
        <v>360</v>
      </c>
      <c r="C118" s="115"/>
      <c r="E118" s="116" t="s">
        <v>360</v>
      </c>
      <c r="F118" s="117"/>
    </row>
    <row r="119" ht="13.5" customHeight="1">
      <c r="B119" s="114" t="s">
        <v>361</v>
      </c>
      <c r="C119" s="115"/>
      <c r="E119" s="116" t="s">
        <v>361</v>
      </c>
      <c r="F119" s="117"/>
    </row>
    <row r="120" ht="13.5" customHeight="1">
      <c r="B120" s="114" t="s">
        <v>362</v>
      </c>
      <c r="C120" s="115"/>
      <c r="E120" s="116" t="s">
        <v>362</v>
      </c>
      <c r="F120" s="117"/>
    </row>
    <row r="121" ht="13.5" customHeight="1">
      <c r="B121" s="114" t="s">
        <v>363</v>
      </c>
      <c r="C121" s="115"/>
      <c r="E121" s="116" t="s">
        <v>363</v>
      </c>
      <c r="F121" s="117"/>
    </row>
    <row r="122" ht="13.5" customHeight="1">
      <c r="B122" s="114" t="s">
        <v>364</v>
      </c>
      <c r="C122" s="115"/>
      <c r="E122" s="116" t="s">
        <v>364</v>
      </c>
      <c r="F122" s="117"/>
    </row>
    <row r="123" ht="13.5" customHeight="1">
      <c r="B123" s="118" t="s">
        <v>367</v>
      </c>
      <c r="C123" s="27"/>
      <c r="D123" s="27"/>
      <c r="E123" s="27"/>
      <c r="F123" s="30"/>
    </row>
    <row r="124" ht="13.5" customHeight="1">
      <c r="B124" s="119"/>
      <c r="C124" s="119" t="s">
        <v>368</v>
      </c>
      <c r="D124" s="119" t="s">
        <v>13</v>
      </c>
      <c r="E124" s="119"/>
      <c r="F124" s="119" t="s">
        <v>369</v>
      </c>
    </row>
    <row r="125" ht="13.5" customHeight="1">
      <c r="B125" s="120" t="s">
        <v>360</v>
      </c>
      <c r="C125" s="120"/>
      <c r="D125" s="120"/>
      <c r="E125" s="120"/>
      <c r="F125" s="120"/>
    </row>
    <row r="126" ht="13.5" customHeight="1">
      <c r="B126" s="120" t="s">
        <v>361</v>
      </c>
      <c r="C126" s="120"/>
      <c r="D126" s="120"/>
      <c r="E126" s="120"/>
      <c r="F126" s="120"/>
    </row>
    <row r="127" ht="13.5" customHeight="1">
      <c r="B127" s="120" t="s">
        <v>362</v>
      </c>
      <c r="C127" s="120"/>
      <c r="D127" s="120"/>
      <c r="E127" s="120"/>
      <c r="F127" s="120"/>
    </row>
    <row r="128" ht="13.5" customHeight="1"/>
    <row r="129" ht="13.5" customHeight="1"/>
    <row r="130" ht="13.5" customHeight="1">
      <c r="B130" s="99" t="s">
        <v>401</v>
      </c>
      <c r="C130" s="27"/>
      <c r="D130" s="27"/>
      <c r="E130" s="27"/>
      <c r="F130" s="30"/>
    </row>
    <row r="131" ht="13.5" customHeight="1">
      <c r="B131" s="100" t="s">
        <v>355</v>
      </c>
      <c r="C131" s="101">
        <v>46304.0</v>
      </c>
      <c r="E131" s="100" t="s">
        <v>356</v>
      </c>
      <c r="F131" s="15" t="s">
        <v>357</v>
      </c>
    </row>
    <row r="132" ht="13.5" customHeight="1">
      <c r="B132" s="102" t="s">
        <v>358</v>
      </c>
      <c r="C132" s="103"/>
      <c r="E132" s="104" t="s">
        <v>359</v>
      </c>
      <c r="F132" s="106"/>
    </row>
    <row r="133" ht="13.5" customHeight="1">
      <c r="B133" s="107" t="s">
        <v>360</v>
      </c>
      <c r="C133" s="108"/>
      <c r="E133" s="109" t="s">
        <v>360</v>
      </c>
      <c r="F133" s="110"/>
    </row>
    <row r="134" ht="13.5" customHeight="1">
      <c r="B134" s="107" t="s">
        <v>361</v>
      </c>
      <c r="C134" s="108"/>
      <c r="E134" s="109" t="s">
        <v>361</v>
      </c>
      <c r="F134" s="110"/>
    </row>
    <row r="135" ht="13.5" customHeight="1">
      <c r="B135" s="107" t="s">
        <v>362</v>
      </c>
      <c r="C135" s="108"/>
      <c r="E135" s="109" t="s">
        <v>362</v>
      </c>
      <c r="F135" s="110"/>
    </row>
    <row r="136" ht="13.5" customHeight="1">
      <c r="B136" s="107" t="s">
        <v>363</v>
      </c>
      <c r="C136" s="108"/>
      <c r="E136" s="109" t="s">
        <v>363</v>
      </c>
      <c r="F136" s="110"/>
    </row>
    <row r="137" ht="13.5" customHeight="1">
      <c r="B137" s="107" t="s">
        <v>364</v>
      </c>
      <c r="C137" s="108"/>
      <c r="E137" s="109" t="s">
        <v>364</v>
      </c>
      <c r="F137" s="110"/>
    </row>
    <row r="138" ht="13.5" customHeight="1">
      <c r="B138" s="111" t="s">
        <v>365</v>
      </c>
      <c r="C138" s="48"/>
      <c r="E138" s="112" t="s">
        <v>366</v>
      </c>
      <c r="F138" s="113"/>
    </row>
    <row r="139" ht="13.5" customHeight="1">
      <c r="B139" s="114" t="s">
        <v>360</v>
      </c>
      <c r="C139" s="115"/>
      <c r="E139" s="116" t="s">
        <v>360</v>
      </c>
      <c r="F139" s="117"/>
    </row>
    <row r="140" ht="13.5" customHeight="1">
      <c r="B140" s="114" t="s">
        <v>361</v>
      </c>
      <c r="C140" s="115"/>
      <c r="E140" s="116" t="s">
        <v>361</v>
      </c>
      <c r="F140" s="117"/>
    </row>
    <row r="141" ht="13.5" customHeight="1">
      <c r="B141" s="114" t="s">
        <v>362</v>
      </c>
      <c r="C141" s="115"/>
      <c r="E141" s="116" t="s">
        <v>362</v>
      </c>
      <c r="F141" s="117"/>
    </row>
    <row r="142" ht="13.5" customHeight="1">
      <c r="B142" s="114" t="s">
        <v>363</v>
      </c>
      <c r="C142" s="115"/>
      <c r="E142" s="116" t="s">
        <v>363</v>
      </c>
      <c r="F142" s="117"/>
    </row>
    <row r="143" ht="13.5" customHeight="1">
      <c r="B143" s="114" t="s">
        <v>364</v>
      </c>
      <c r="C143" s="115"/>
      <c r="E143" s="116" t="s">
        <v>364</v>
      </c>
      <c r="F143" s="117"/>
    </row>
    <row r="144" ht="13.5" customHeight="1">
      <c r="B144" s="118" t="s">
        <v>367</v>
      </c>
      <c r="C144" s="27"/>
      <c r="D144" s="27"/>
      <c r="E144" s="27"/>
      <c r="F144" s="30"/>
    </row>
    <row r="145" ht="13.5" customHeight="1">
      <c r="B145" s="119"/>
      <c r="C145" s="119" t="s">
        <v>368</v>
      </c>
      <c r="D145" s="119" t="s">
        <v>13</v>
      </c>
      <c r="E145" s="119"/>
      <c r="F145" s="119" t="s">
        <v>369</v>
      </c>
    </row>
    <row r="146" ht="13.5" customHeight="1">
      <c r="B146" s="120" t="s">
        <v>360</v>
      </c>
      <c r="C146" s="120"/>
      <c r="D146" s="120"/>
      <c r="E146" s="120"/>
      <c r="F146" s="120"/>
    </row>
    <row r="147" ht="13.5" customHeight="1">
      <c r="B147" s="120" t="s">
        <v>361</v>
      </c>
      <c r="C147" s="120"/>
      <c r="D147" s="120"/>
      <c r="E147" s="120"/>
      <c r="F147" s="120"/>
    </row>
    <row r="148" ht="13.5" customHeight="1">
      <c r="B148" s="120" t="s">
        <v>362</v>
      </c>
      <c r="C148" s="120"/>
      <c r="D148" s="120"/>
      <c r="E148" s="120"/>
      <c r="F148" s="120"/>
    </row>
    <row r="149" ht="13.5" customHeight="1"/>
    <row r="150" ht="13.5" customHeight="1"/>
    <row r="151" ht="13.5" customHeight="1">
      <c r="B151" s="99" t="s">
        <v>402</v>
      </c>
      <c r="C151" s="27"/>
      <c r="D151" s="27"/>
      <c r="E151" s="27"/>
      <c r="F151" s="30"/>
    </row>
    <row r="152" ht="13.5" customHeight="1">
      <c r="B152" s="100" t="s">
        <v>355</v>
      </c>
      <c r="C152" s="101">
        <v>46311.0</v>
      </c>
      <c r="E152" s="100" t="s">
        <v>356</v>
      </c>
      <c r="F152" s="15" t="s">
        <v>357</v>
      </c>
    </row>
    <row r="153" ht="13.5" customHeight="1">
      <c r="B153" s="102" t="s">
        <v>358</v>
      </c>
      <c r="C153" s="103"/>
      <c r="E153" s="104" t="s">
        <v>359</v>
      </c>
      <c r="F153" s="106"/>
    </row>
    <row r="154" ht="13.5" customHeight="1">
      <c r="B154" s="107" t="s">
        <v>360</v>
      </c>
      <c r="C154" s="108"/>
      <c r="E154" s="109" t="s">
        <v>360</v>
      </c>
      <c r="F154" s="110"/>
    </row>
    <row r="155" ht="13.5" customHeight="1">
      <c r="B155" s="107" t="s">
        <v>361</v>
      </c>
      <c r="C155" s="108"/>
      <c r="E155" s="109" t="s">
        <v>361</v>
      </c>
      <c r="F155" s="110"/>
    </row>
    <row r="156" ht="13.5" customHeight="1">
      <c r="B156" s="107" t="s">
        <v>362</v>
      </c>
      <c r="C156" s="108"/>
      <c r="E156" s="109" t="s">
        <v>362</v>
      </c>
      <c r="F156" s="110"/>
    </row>
    <row r="157" ht="13.5" customHeight="1">
      <c r="B157" s="107" t="s">
        <v>363</v>
      </c>
      <c r="C157" s="108"/>
      <c r="E157" s="109" t="s">
        <v>363</v>
      </c>
      <c r="F157" s="110"/>
    </row>
    <row r="158" ht="13.5" customHeight="1">
      <c r="B158" s="107" t="s">
        <v>364</v>
      </c>
      <c r="C158" s="108"/>
      <c r="E158" s="109" t="s">
        <v>364</v>
      </c>
      <c r="F158" s="110"/>
    </row>
    <row r="159" ht="13.5" customHeight="1">
      <c r="B159" s="111" t="s">
        <v>365</v>
      </c>
      <c r="C159" s="48"/>
      <c r="E159" s="112" t="s">
        <v>366</v>
      </c>
      <c r="F159" s="113"/>
    </row>
    <row r="160" ht="13.5" customHeight="1">
      <c r="B160" s="114" t="s">
        <v>360</v>
      </c>
      <c r="C160" s="115"/>
      <c r="E160" s="116" t="s">
        <v>360</v>
      </c>
      <c r="F160" s="117"/>
    </row>
    <row r="161" ht="13.5" customHeight="1">
      <c r="B161" s="114" t="s">
        <v>361</v>
      </c>
      <c r="C161" s="115"/>
      <c r="E161" s="116" t="s">
        <v>361</v>
      </c>
      <c r="F161" s="117"/>
    </row>
    <row r="162" ht="13.5" customHeight="1">
      <c r="B162" s="114" t="s">
        <v>362</v>
      </c>
      <c r="C162" s="115"/>
      <c r="E162" s="116" t="s">
        <v>362</v>
      </c>
      <c r="F162" s="117"/>
    </row>
    <row r="163" ht="13.5" customHeight="1">
      <c r="B163" s="114" t="s">
        <v>363</v>
      </c>
      <c r="C163" s="115"/>
      <c r="E163" s="116" t="s">
        <v>363</v>
      </c>
      <c r="F163" s="117"/>
    </row>
    <row r="164" ht="13.5" customHeight="1">
      <c r="B164" s="114" t="s">
        <v>364</v>
      </c>
      <c r="C164" s="115"/>
      <c r="E164" s="116" t="s">
        <v>364</v>
      </c>
      <c r="F164" s="117"/>
    </row>
    <row r="165" ht="13.5" customHeight="1">
      <c r="B165" s="118" t="s">
        <v>367</v>
      </c>
      <c r="C165" s="27"/>
      <c r="D165" s="27"/>
      <c r="E165" s="27"/>
      <c r="F165" s="30"/>
    </row>
    <row r="166" ht="13.5" customHeight="1">
      <c r="B166" s="119"/>
      <c r="C166" s="119" t="s">
        <v>368</v>
      </c>
      <c r="D166" s="119" t="s">
        <v>13</v>
      </c>
      <c r="E166" s="119"/>
      <c r="F166" s="119" t="s">
        <v>369</v>
      </c>
    </row>
    <row r="167" ht="13.5" customHeight="1">
      <c r="B167" s="120" t="s">
        <v>360</v>
      </c>
      <c r="C167" s="120"/>
      <c r="D167" s="120"/>
      <c r="E167" s="120"/>
      <c r="F167" s="120"/>
    </row>
    <row r="168" ht="13.5" customHeight="1">
      <c r="B168" s="120" t="s">
        <v>361</v>
      </c>
      <c r="C168" s="120"/>
      <c r="D168" s="120"/>
      <c r="E168" s="120"/>
      <c r="F168" s="120"/>
    </row>
    <row r="169" ht="13.5" customHeight="1">
      <c r="B169" s="120" t="s">
        <v>362</v>
      </c>
      <c r="C169" s="120"/>
      <c r="D169" s="120"/>
      <c r="E169" s="120"/>
      <c r="F169" s="120"/>
    </row>
    <row r="170" ht="13.5" customHeight="1"/>
    <row r="171" ht="13.5" customHeight="1"/>
    <row r="172" ht="13.5" customHeight="1">
      <c r="B172" s="99" t="s">
        <v>403</v>
      </c>
      <c r="C172" s="27"/>
      <c r="D172" s="27"/>
      <c r="E172" s="27"/>
      <c r="F172" s="30"/>
    </row>
    <row r="173" ht="13.5" customHeight="1">
      <c r="B173" s="100" t="s">
        <v>355</v>
      </c>
      <c r="C173" s="101">
        <v>46318.0</v>
      </c>
      <c r="E173" s="100" t="s">
        <v>356</v>
      </c>
      <c r="F173" s="15" t="s">
        <v>357</v>
      </c>
    </row>
    <row r="174" ht="13.5" customHeight="1">
      <c r="B174" s="102" t="s">
        <v>358</v>
      </c>
      <c r="C174" s="103"/>
      <c r="E174" s="104" t="s">
        <v>359</v>
      </c>
      <c r="F174" s="106"/>
    </row>
    <row r="175" ht="13.5" customHeight="1">
      <c r="B175" s="107" t="s">
        <v>360</v>
      </c>
      <c r="C175" s="108"/>
      <c r="E175" s="109" t="s">
        <v>360</v>
      </c>
      <c r="F175" s="110"/>
    </row>
    <row r="176" ht="13.5" customHeight="1">
      <c r="B176" s="107" t="s">
        <v>361</v>
      </c>
      <c r="C176" s="108"/>
      <c r="E176" s="109" t="s">
        <v>361</v>
      </c>
      <c r="F176" s="110"/>
    </row>
    <row r="177" ht="13.5" customHeight="1">
      <c r="B177" s="107" t="s">
        <v>362</v>
      </c>
      <c r="C177" s="108"/>
      <c r="E177" s="109" t="s">
        <v>362</v>
      </c>
      <c r="F177" s="110"/>
    </row>
    <row r="178" ht="13.5" customHeight="1">
      <c r="B178" s="107" t="s">
        <v>363</v>
      </c>
      <c r="C178" s="108"/>
      <c r="E178" s="109" t="s">
        <v>363</v>
      </c>
      <c r="F178" s="110"/>
    </row>
    <row r="179" ht="13.5" customHeight="1">
      <c r="B179" s="107" t="s">
        <v>364</v>
      </c>
      <c r="C179" s="108"/>
      <c r="E179" s="109" t="s">
        <v>364</v>
      </c>
      <c r="F179" s="110"/>
    </row>
    <row r="180" ht="13.5" customHeight="1">
      <c r="B180" s="111" t="s">
        <v>365</v>
      </c>
      <c r="C180" s="48"/>
      <c r="E180" s="112" t="s">
        <v>366</v>
      </c>
      <c r="F180" s="113"/>
    </row>
    <row r="181" ht="13.5" customHeight="1">
      <c r="B181" s="114" t="s">
        <v>360</v>
      </c>
      <c r="C181" s="115"/>
      <c r="E181" s="116" t="s">
        <v>360</v>
      </c>
      <c r="F181" s="117"/>
    </row>
    <row r="182" ht="13.5" customHeight="1">
      <c r="B182" s="114" t="s">
        <v>361</v>
      </c>
      <c r="C182" s="115"/>
      <c r="E182" s="116" t="s">
        <v>361</v>
      </c>
      <c r="F182" s="117"/>
    </row>
    <row r="183" ht="13.5" customHeight="1">
      <c r="B183" s="114" t="s">
        <v>362</v>
      </c>
      <c r="C183" s="115"/>
      <c r="E183" s="116" t="s">
        <v>362</v>
      </c>
      <c r="F183" s="117"/>
    </row>
    <row r="184" ht="13.5" customHeight="1">
      <c r="B184" s="114" t="s">
        <v>363</v>
      </c>
      <c r="C184" s="115"/>
      <c r="E184" s="116" t="s">
        <v>363</v>
      </c>
      <c r="F184" s="117"/>
    </row>
    <row r="185" ht="13.5" customHeight="1">
      <c r="B185" s="114" t="s">
        <v>364</v>
      </c>
      <c r="C185" s="115"/>
      <c r="E185" s="116" t="s">
        <v>364</v>
      </c>
      <c r="F185" s="117"/>
    </row>
    <row r="186" ht="13.5" customHeight="1">
      <c r="B186" s="118" t="s">
        <v>367</v>
      </c>
      <c r="C186" s="27"/>
      <c r="D186" s="27"/>
      <c r="E186" s="27"/>
      <c r="F186" s="30"/>
    </row>
    <row r="187" ht="13.5" customHeight="1">
      <c r="B187" s="119"/>
      <c r="C187" s="119" t="s">
        <v>368</v>
      </c>
      <c r="D187" s="119" t="s">
        <v>13</v>
      </c>
      <c r="E187" s="119"/>
      <c r="F187" s="119" t="s">
        <v>369</v>
      </c>
    </row>
    <row r="188" ht="13.5" customHeight="1">
      <c r="B188" s="120" t="s">
        <v>360</v>
      </c>
      <c r="C188" s="120"/>
      <c r="D188" s="120"/>
      <c r="E188" s="120"/>
      <c r="F188" s="120"/>
    </row>
    <row r="189" ht="13.5" customHeight="1">
      <c r="B189" s="120" t="s">
        <v>361</v>
      </c>
      <c r="C189" s="120"/>
      <c r="D189" s="120"/>
      <c r="E189" s="120"/>
      <c r="F189" s="120"/>
    </row>
    <row r="190" ht="13.5" customHeight="1">
      <c r="B190" s="120" t="s">
        <v>362</v>
      </c>
      <c r="C190" s="120"/>
      <c r="D190" s="120"/>
      <c r="E190" s="120"/>
      <c r="F190" s="120"/>
    </row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20">
    <mergeCell ref="A1:G1"/>
    <mergeCell ref="A2:G2"/>
    <mergeCell ref="B4:F4"/>
    <mergeCell ref="B18:F18"/>
    <mergeCell ref="B25:F25"/>
    <mergeCell ref="B39:F39"/>
    <mergeCell ref="B46:F46"/>
    <mergeCell ref="B130:F130"/>
    <mergeCell ref="B144:F144"/>
    <mergeCell ref="B151:F151"/>
    <mergeCell ref="B165:F165"/>
    <mergeCell ref="B172:F172"/>
    <mergeCell ref="B186:F186"/>
    <mergeCell ref="B60:F60"/>
    <mergeCell ref="B67:F67"/>
    <mergeCell ref="B81:F81"/>
    <mergeCell ref="B88:F88"/>
    <mergeCell ref="B102:F102"/>
    <mergeCell ref="B109:F109"/>
    <mergeCell ref="B123:F123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1.88"/>
    <col customWidth="1" min="3" max="3" width="15.25"/>
    <col customWidth="1" min="4" max="4" width="21.88"/>
    <col customWidth="1" min="5" max="5" width="51.88"/>
  </cols>
  <sheetData>
    <row r="1">
      <c r="A1" s="121" t="s">
        <v>19</v>
      </c>
      <c r="B1" s="121" t="s">
        <v>372</v>
      </c>
      <c r="C1" s="121" t="s">
        <v>373</v>
      </c>
      <c r="D1" s="121" t="s">
        <v>374</v>
      </c>
      <c r="E1" s="122" t="s">
        <v>375</v>
      </c>
    </row>
    <row r="2">
      <c r="A2" s="124">
        <v>1.0</v>
      </c>
      <c r="B2" s="124" t="s">
        <v>377</v>
      </c>
      <c r="C2" s="126">
        <v>1.8E7</v>
      </c>
      <c r="D2" s="132" t="s">
        <v>378</v>
      </c>
      <c r="E2" s="133" t="s">
        <v>380</v>
      </c>
    </row>
    <row r="3">
      <c r="A3" s="124">
        <v>2.0</v>
      </c>
      <c r="B3" s="124" t="s">
        <v>381</v>
      </c>
      <c r="C3" s="126">
        <v>1300000.0</v>
      </c>
      <c r="D3" s="134" t="s">
        <v>383</v>
      </c>
      <c r="E3" s="135"/>
    </row>
    <row r="4">
      <c r="A4" s="124">
        <v>3.0</v>
      </c>
      <c r="B4" s="124" t="s">
        <v>384</v>
      </c>
      <c r="C4" s="126">
        <v>1100000.0</v>
      </c>
      <c r="D4" s="132" t="s">
        <v>385</v>
      </c>
      <c r="E4" s="135"/>
    </row>
    <row r="5">
      <c r="A5" s="124"/>
      <c r="B5" s="136" t="s">
        <v>386</v>
      </c>
      <c r="C5" s="137">
        <v>4000000.0</v>
      </c>
      <c r="D5" s="138" t="s">
        <v>387</v>
      </c>
      <c r="E5" s="133" t="s">
        <v>389</v>
      </c>
    </row>
    <row r="6">
      <c r="A6" s="124">
        <v>5.0</v>
      </c>
      <c r="B6" s="124" t="s">
        <v>390</v>
      </c>
      <c r="C6" s="126">
        <v>7000000.0</v>
      </c>
      <c r="D6" s="132" t="s">
        <v>391</v>
      </c>
      <c r="E6" s="133" t="s">
        <v>392</v>
      </c>
    </row>
    <row r="7">
      <c r="A7" s="124">
        <v>6.0</v>
      </c>
      <c r="B7" s="124"/>
      <c r="C7" s="126"/>
      <c r="D7" s="139"/>
      <c r="E7" s="135"/>
    </row>
    <row r="8">
      <c r="A8" s="124">
        <v>7.0</v>
      </c>
      <c r="B8" s="124"/>
      <c r="C8" s="126"/>
      <c r="D8" s="139"/>
      <c r="E8" s="135"/>
    </row>
    <row r="9">
      <c r="A9" s="140" t="s">
        <v>393</v>
      </c>
      <c r="B9" s="141"/>
      <c r="C9" s="126">
        <f>SUM(C2:C8)</f>
        <v>31400000</v>
      </c>
      <c r="D9" s="139"/>
      <c r="E9" s="135" t="s">
        <v>394</v>
      </c>
    </row>
    <row r="10">
      <c r="A10" s="142"/>
      <c r="B10" s="143"/>
      <c r="C10" s="137">
        <v>2.6E7</v>
      </c>
      <c r="D10" s="139"/>
      <c r="E10" s="135" t="s">
        <v>396</v>
      </c>
    </row>
    <row r="11">
      <c r="E11" s="144"/>
    </row>
    <row r="12">
      <c r="E12" s="144"/>
    </row>
    <row r="13">
      <c r="A13" s="121" t="s">
        <v>19</v>
      </c>
      <c r="B13" s="121" t="s">
        <v>372</v>
      </c>
      <c r="C13" s="121" t="s">
        <v>373</v>
      </c>
      <c r="D13" s="121" t="s">
        <v>374</v>
      </c>
      <c r="E13" s="122" t="s">
        <v>375</v>
      </c>
    </row>
    <row r="14">
      <c r="A14" s="124">
        <v>1.0</v>
      </c>
      <c r="B14" s="145" t="s">
        <v>397</v>
      </c>
      <c r="C14" s="137">
        <v>1.4E7</v>
      </c>
      <c r="D14" s="132"/>
      <c r="E14" s="133"/>
    </row>
    <row r="15">
      <c r="A15" s="124">
        <v>2.0</v>
      </c>
      <c r="B15" s="124" t="s">
        <v>381</v>
      </c>
      <c r="C15" s="126">
        <v>1300000.0</v>
      </c>
      <c r="D15" s="134" t="s">
        <v>398</v>
      </c>
      <c r="E15" s="135"/>
    </row>
    <row r="16">
      <c r="A16" s="124">
        <v>3.0</v>
      </c>
      <c r="B16" s="124" t="s">
        <v>384</v>
      </c>
      <c r="C16" s="126">
        <v>1100000.0</v>
      </c>
      <c r="D16" s="132" t="s">
        <v>385</v>
      </c>
      <c r="E16" s="135"/>
    </row>
    <row r="17">
      <c r="A17" s="124"/>
      <c r="B17" s="136" t="s">
        <v>386</v>
      </c>
      <c r="C17" s="137">
        <v>4000000.0</v>
      </c>
      <c r="D17" s="138" t="s">
        <v>387</v>
      </c>
      <c r="E17" s="133" t="s">
        <v>389</v>
      </c>
    </row>
    <row r="18">
      <c r="A18" s="124">
        <v>5.0</v>
      </c>
      <c r="B18" s="124" t="s">
        <v>390</v>
      </c>
      <c r="C18" s="126">
        <v>7000000.0</v>
      </c>
      <c r="D18" s="132" t="s">
        <v>399</v>
      </c>
      <c r="E18" s="133" t="s">
        <v>392</v>
      </c>
    </row>
    <row r="19">
      <c r="A19" s="124">
        <v>6.0</v>
      </c>
      <c r="B19" s="124"/>
      <c r="C19" s="126"/>
      <c r="D19" s="139"/>
      <c r="E19" s="135"/>
    </row>
    <row r="20">
      <c r="A20" s="124">
        <v>7.0</v>
      </c>
      <c r="B20" s="124"/>
      <c r="C20" s="126"/>
      <c r="D20" s="139"/>
      <c r="E20" s="135"/>
    </row>
    <row r="21">
      <c r="A21" s="140" t="s">
        <v>393</v>
      </c>
      <c r="B21" s="141"/>
      <c r="C21" s="126">
        <f>SUM(C14:C20)</f>
        <v>27400000</v>
      </c>
      <c r="D21" s="139"/>
      <c r="E21" s="135" t="s">
        <v>394</v>
      </c>
    </row>
    <row r="22">
      <c r="A22" s="142"/>
      <c r="B22" s="143"/>
      <c r="C22" s="137">
        <v>2.2E7</v>
      </c>
      <c r="D22" s="139"/>
      <c r="E22" s="135" t="s">
        <v>396</v>
      </c>
    </row>
    <row r="23">
      <c r="E23" s="144"/>
    </row>
    <row r="24">
      <c r="E24" s="144"/>
    </row>
    <row r="25">
      <c r="E25" s="144"/>
    </row>
    <row r="26">
      <c r="E26" s="144"/>
    </row>
    <row r="27">
      <c r="E27" s="144"/>
    </row>
    <row r="28">
      <c r="E28" s="144"/>
    </row>
    <row r="29">
      <c r="E29" s="144"/>
    </row>
    <row r="30">
      <c r="E30" s="144"/>
    </row>
    <row r="31">
      <c r="E31" s="144"/>
    </row>
    <row r="32">
      <c r="E32" s="144"/>
    </row>
    <row r="33">
      <c r="E33" s="144"/>
    </row>
    <row r="34">
      <c r="E34" s="144"/>
    </row>
    <row r="35">
      <c r="E35" s="144"/>
    </row>
    <row r="36">
      <c r="E36" s="144"/>
    </row>
    <row r="37">
      <c r="E37" s="144"/>
    </row>
    <row r="38">
      <c r="E38" s="144"/>
    </row>
    <row r="39">
      <c r="E39" s="144"/>
    </row>
    <row r="40">
      <c r="E40" s="144"/>
    </row>
    <row r="41">
      <c r="E41" s="144"/>
    </row>
    <row r="42">
      <c r="E42" s="144"/>
    </row>
    <row r="43">
      <c r="E43" s="144"/>
    </row>
    <row r="44">
      <c r="E44" s="144"/>
    </row>
    <row r="45">
      <c r="E45" s="144"/>
    </row>
    <row r="46">
      <c r="E46" s="144"/>
    </row>
    <row r="47">
      <c r="E47" s="144"/>
    </row>
    <row r="48">
      <c r="E48" s="144"/>
    </row>
    <row r="49">
      <c r="E49" s="144"/>
    </row>
    <row r="50">
      <c r="E50" s="144"/>
    </row>
    <row r="51">
      <c r="E51" s="144"/>
    </row>
    <row r="52">
      <c r="E52" s="144"/>
    </row>
    <row r="53">
      <c r="E53" s="144"/>
    </row>
    <row r="54">
      <c r="E54" s="144"/>
    </row>
    <row r="55">
      <c r="E55" s="144"/>
    </row>
    <row r="56">
      <c r="E56" s="144"/>
    </row>
    <row r="57">
      <c r="E57" s="144"/>
    </row>
    <row r="58">
      <c r="E58" s="144"/>
    </row>
    <row r="59">
      <c r="E59" s="144"/>
    </row>
    <row r="60">
      <c r="E60" s="144"/>
    </row>
    <row r="61">
      <c r="E61" s="144"/>
    </row>
    <row r="62">
      <c r="E62" s="144"/>
    </row>
    <row r="63">
      <c r="E63" s="144"/>
    </row>
    <row r="64">
      <c r="E64" s="144"/>
    </row>
    <row r="65">
      <c r="E65" s="144"/>
    </row>
    <row r="66">
      <c r="E66" s="144"/>
    </row>
    <row r="67">
      <c r="E67" s="144"/>
    </row>
    <row r="68">
      <c r="E68" s="144"/>
    </row>
    <row r="69">
      <c r="E69" s="144"/>
    </row>
    <row r="70">
      <c r="E70" s="144"/>
    </row>
    <row r="71">
      <c r="E71" s="144"/>
    </row>
    <row r="72">
      <c r="E72" s="144"/>
    </row>
    <row r="73">
      <c r="E73" s="144"/>
    </row>
    <row r="74">
      <c r="E74" s="144"/>
    </row>
    <row r="75">
      <c r="E75" s="144"/>
    </row>
    <row r="76">
      <c r="E76" s="144"/>
    </row>
    <row r="77">
      <c r="E77" s="144"/>
    </row>
    <row r="78">
      <c r="E78" s="144"/>
    </row>
    <row r="79">
      <c r="E79" s="144"/>
    </row>
    <row r="80">
      <c r="E80" s="144"/>
    </row>
    <row r="81">
      <c r="E81" s="144"/>
    </row>
    <row r="82">
      <c r="E82" s="144"/>
    </row>
    <row r="83">
      <c r="E83" s="144"/>
    </row>
    <row r="84">
      <c r="E84" s="144"/>
    </row>
    <row r="85">
      <c r="E85" s="144"/>
    </row>
    <row r="86">
      <c r="E86" s="144"/>
    </row>
    <row r="87">
      <c r="E87" s="144"/>
    </row>
    <row r="88">
      <c r="E88" s="144"/>
    </row>
    <row r="89">
      <c r="E89" s="144"/>
    </row>
    <row r="90">
      <c r="E90" s="144"/>
    </row>
    <row r="91">
      <c r="E91" s="144"/>
    </row>
    <row r="92">
      <c r="E92" s="144"/>
    </row>
    <row r="93">
      <c r="E93" s="144"/>
    </row>
    <row r="94">
      <c r="E94" s="144"/>
    </row>
    <row r="95">
      <c r="E95" s="144"/>
    </row>
    <row r="96">
      <c r="E96" s="144"/>
    </row>
    <row r="97">
      <c r="E97" s="144"/>
    </row>
    <row r="98">
      <c r="E98" s="144"/>
    </row>
    <row r="99">
      <c r="E99" s="144"/>
    </row>
    <row r="100">
      <c r="E100" s="144"/>
    </row>
    <row r="101">
      <c r="E101" s="144"/>
    </row>
    <row r="102">
      <c r="E102" s="144"/>
    </row>
    <row r="103">
      <c r="E103" s="144"/>
    </row>
    <row r="104">
      <c r="E104" s="144"/>
    </row>
    <row r="105">
      <c r="E105" s="144"/>
    </row>
    <row r="106">
      <c r="E106" s="144"/>
    </row>
    <row r="107">
      <c r="E107" s="144"/>
    </row>
    <row r="108">
      <c r="E108" s="144"/>
    </row>
    <row r="109">
      <c r="E109" s="144"/>
    </row>
    <row r="110">
      <c r="E110" s="144"/>
    </row>
    <row r="111">
      <c r="E111" s="144"/>
    </row>
    <row r="112">
      <c r="E112" s="144"/>
    </row>
    <row r="113">
      <c r="E113" s="144"/>
    </row>
    <row r="114">
      <c r="E114" s="144"/>
    </row>
    <row r="115">
      <c r="E115" s="144"/>
    </row>
    <row r="116">
      <c r="E116" s="144"/>
    </row>
    <row r="117">
      <c r="E117" s="144"/>
    </row>
    <row r="118">
      <c r="E118" s="144"/>
    </row>
    <row r="119">
      <c r="E119" s="144"/>
    </row>
    <row r="120">
      <c r="E120" s="144"/>
    </row>
    <row r="121">
      <c r="E121" s="144"/>
    </row>
    <row r="122">
      <c r="E122" s="144"/>
    </row>
    <row r="123">
      <c r="E123" s="144"/>
    </row>
    <row r="124">
      <c r="E124" s="144"/>
    </row>
    <row r="125">
      <c r="E125" s="144"/>
    </row>
    <row r="126">
      <c r="E126" s="144"/>
    </row>
    <row r="127">
      <c r="E127" s="144"/>
    </row>
    <row r="128">
      <c r="E128" s="144"/>
    </row>
    <row r="129">
      <c r="E129" s="144"/>
    </row>
    <row r="130">
      <c r="E130" s="144"/>
    </row>
    <row r="131">
      <c r="E131" s="144"/>
    </row>
    <row r="132">
      <c r="E132" s="144"/>
    </row>
    <row r="133">
      <c r="E133" s="144"/>
    </row>
    <row r="134">
      <c r="E134" s="144"/>
    </row>
    <row r="135">
      <c r="E135" s="144"/>
    </row>
    <row r="136">
      <c r="E136" s="144"/>
    </row>
    <row r="137">
      <c r="E137" s="144"/>
    </row>
    <row r="138">
      <c r="E138" s="144"/>
    </row>
    <row r="139">
      <c r="E139" s="144"/>
    </row>
    <row r="140">
      <c r="E140" s="144"/>
    </row>
    <row r="141">
      <c r="E141" s="144"/>
    </row>
    <row r="142">
      <c r="E142" s="144"/>
    </row>
    <row r="143">
      <c r="E143" s="144"/>
    </row>
    <row r="144">
      <c r="E144" s="144"/>
    </row>
    <row r="145">
      <c r="E145" s="144"/>
    </row>
    <row r="146">
      <c r="E146" s="144"/>
    </row>
    <row r="147">
      <c r="E147" s="144"/>
    </row>
    <row r="148">
      <c r="E148" s="144"/>
    </row>
    <row r="149">
      <c r="E149" s="144"/>
    </row>
    <row r="150">
      <c r="E150" s="144"/>
    </row>
    <row r="151">
      <c r="E151" s="144"/>
    </row>
    <row r="152">
      <c r="E152" s="144"/>
    </row>
    <row r="153">
      <c r="E153" s="144"/>
    </row>
    <row r="154">
      <c r="E154" s="144"/>
    </row>
    <row r="155">
      <c r="E155" s="144"/>
    </row>
    <row r="156">
      <c r="E156" s="144"/>
    </row>
    <row r="157">
      <c r="E157" s="144"/>
    </row>
    <row r="158">
      <c r="E158" s="144"/>
    </row>
    <row r="159">
      <c r="E159" s="144"/>
    </row>
    <row r="160">
      <c r="E160" s="144"/>
    </row>
    <row r="161">
      <c r="E161" s="144"/>
    </row>
    <row r="162">
      <c r="E162" s="144"/>
    </row>
    <row r="163">
      <c r="E163" s="144"/>
    </row>
    <row r="164">
      <c r="E164" s="144"/>
    </row>
    <row r="165">
      <c r="E165" s="144"/>
    </row>
    <row r="166">
      <c r="E166" s="144"/>
    </row>
    <row r="167">
      <c r="E167" s="144"/>
    </row>
    <row r="168">
      <c r="E168" s="144"/>
    </row>
    <row r="169">
      <c r="E169" s="144"/>
    </row>
    <row r="170">
      <c r="E170" s="144"/>
    </row>
    <row r="171">
      <c r="E171" s="144"/>
    </row>
    <row r="172">
      <c r="E172" s="144"/>
    </row>
    <row r="173">
      <c r="E173" s="144"/>
    </row>
    <row r="174">
      <c r="E174" s="144"/>
    </row>
    <row r="175">
      <c r="E175" s="144"/>
    </row>
    <row r="176">
      <c r="E176" s="144"/>
    </row>
    <row r="177">
      <c r="E177" s="144"/>
    </row>
    <row r="178">
      <c r="E178" s="144"/>
    </row>
    <row r="179">
      <c r="E179" s="144"/>
    </row>
    <row r="180">
      <c r="E180" s="144"/>
    </row>
    <row r="181">
      <c r="E181" s="144"/>
    </row>
    <row r="182">
      <c r="E182" s="144"/>
    </row>
    <row r="183">
      <c r="E183" s="144"/>
    </row>
    <row r="184">
      <c r="E184" s="144"/>
    </row>
    <row r="185">
      <c r="E185" s="144"/>
    </row>
    <row r="186">
      <c r="E186" s="144"/>
    </row>
    <row r="187">
      <c r="E187" s="144"/>
    </row>
    <row r="188">
      <c r="E188" s="144"/>
    </row>
    <row r="189">
      <c r="E189" s="144"/>
    </row>
    <row r="190">
      <c r="E190" s="144"/>
    </row>
    <row r="191">
      <c r="E191" s="144"/>
    </row>
    <row r="192">
      <c r="E192" s="144"/>
    </row>
    <row r="193">
      <c r="E193" s="144"/>
    </row>
    <row r="194">
      <c r="E194" s="144"/>
    </row>
    <row r="195">
      <c r="E195" s="144"/>
    </row>
    <row r="196">
      <c r="E196" s="144"/>
    </row>
    <row r="197">
      <c r="E197" s="144"/>
    </row>
    <row r="198">
      <c r="E198" s="144"/>
    </row>
    <row r="199">
      <c r="E199" s="144"/>
    </row>
    <row r="200">
      <c r="E200" s="144"/>
    </row>
    <row r="201">
      <c r="E201" s="144"/>
    </row>
    <row r="202">
      <c r="E202" s="144"/>
    </row>
    <row r="203">
      <c r="E203" s="144"/>
    </row>
    <row r="204">
      <c r="E204" s="144"/>
    </row>
    <row r="205">
      <c r="E205" s="144"/>
    </row>
    <row r="206">
      <c r="E206" s="144"/>
    </row>
    <row r="207">
      <c r="E207" s="144"/>
    </row>
    <row r="208">
      <c r="E208" s="144"/>
    </row>
    <row r="209">
      <c r="E209" s="144"/>
    </row>
    <row r="210">
      <c r="E210" s="144"/>
    </row>
    <row r="211">
      <c r="E211" s="144"/>
    </row>
    <row r="212">
      <c r="E212" s="144"/>
    </row>
    <row r="213">
      <c r="E213" s="144"/>
    </row>
    <row r="214">
      <c r="E214" s="144"/>
    </row>
    <row r="215">
      <c r="E215" s="144"/>
    </row>
    <row r="216">
      <c r="E216" s="144"/>
    </row>
    <row r="217">
      <c r="E217" s="144"/>
    </row>
    <row r="218">
      <c r="E218" s="144"/>
    </row>
    <row r="219">
      <c r="E219" s="144"/>
    </row>
    <row r="220">
      <c r="E220" s="144"/>
    </row>
    <row r="221">
      <c r="E221" s="144"/>
    </row>
    <row r="222">
      <c r="E222" s="144"/>
    </row>
    <row r="223">
      <c r="E223" s="144"/>
    </row>
    <row r="224">
      <c r="E224" s="144"/>
    </row>
    <row r="225">
      <c r="E225" s="144"/>
    </row>
    <row r="226">
      <c r="E226" s="144"/>
    </row>
    <row r="227">
      <c r="E227" s="144"/>
    </row>
    <row r="228">
      <c r="E228" s="144"/>
    </row>
    <row r="229">
      <c r="E229" s="144"/>
    </row>
    <row r="230">
      <c r="E230" s="144"/>
    </row>
    <row r="231">
      <c r="E231" s="144"/>
    </row>
    <row r="232">
      <c r="E232" s="144"/>
    </row>
    <row r="233">
      <c r="E233" s="144"/>
    </row>
    <row r="234">
      <c r="E234" s="144"/>
    </row>
    <row r="235">
      <c r="E235" s="144"/>
    </row>
    <row r="236">
      <c r="E236" s="144"/>
    </row>
    <row r="237">
      <c r="E237" s="144"/>
    </row>
    <row r="238">
      <c r="E238" s="144"/>
    </row>
    <row r="239">
      <c r="E239" s="144"/>
    </row>
    <row r="240">
      <c r="E240" s="144"/>
    </row>
    <row r="241">
      <c r="E241" s="144"/>
    </row>
    <row r="242">
      <c r="E242" s="144"/>
    </row>
    <row r="243">
      <c r="E243" s="144"/>
    </row>
    <row r="244">
      <c r="E244" s="144"/>
    </row>
    <row r="245">
      <c r="E245" s="144"/>
    </row>
    <row r="246">
      <c r="E246" s="144"/>
    </row>
    <row r="247">
      <c r="E247" s="144"/>
    </row>
    <row r="248">
      <c r="E248" s="144"/>
    </row>
    <row r="249">
      <c r="E249" s="144"/>
    </row>
    <row r="250">
      <c r="E250" s="144"/>
    </row>
    <row r="251">
      <c r="E251" s="144"/>
    </row>
    <row r="252">
      <c r="E252" s="144"/>
    </row>
    <row r="253">
      <c r="E253" s="144"/>
    </row>
    <row r="254">
      <c r="E254" s="144"/>
    </row>
    <row r="255">
      <c r="E255" s="144"/>
    </row>
    <row r="256">
      <c r="E256" s="144"/>
    </row>
    <row r="257">
      <c r="E257" s="144"/>
    </row>
    <row r="258">
      <c r="E258" s="144"/>
    </row>
    <row r="259">
      <c r="E259" s="144"/>
    </row>
    <row r="260">
      <c r="E260" s="144"/>
    </row>
    <row r="261">
      <c r="E261" s="144"/>
    </row>
    <row r="262">
      <c r="E262" s="144"/>
    </row>
    <row r="263">
      <c r="E263" s="144"/>
    </row>
    <row r="264">
      <c r="E264" s="144"/>
    </row>
    <row r="265">
      <c r="E265" s="144"/>
    </row>
    <row r="266">
      <c r="E266" s="144"/>
    </row>
    <row r="267">
      <c r="E267" s="144"/>
    </row>
    <row r="268">
      <c r="E268" s="144"/>
    </row>
    <row r="269">
      <c r="E269" s="144"/>
    </row>
    <row r="270">
      <c r="E270" s="144"/>
    </row>
    <row r="271">
      <c r="E271" s="144"/>
    </row>
    <row r="272">
      <c r="E272" s="144"/>
    </row>
    <row r="273">
      <c r="E273" s="144"/>
    </row>
    <row r="274">
      <c r="E274" s="144"/>
    </row>
    <row r="275">
      <c r="E275" s="144"/>
    </row>
    <row r="276">
      <c r="E276" s="144"/>
    </row>
    <row r="277">
      <c r="E277" s="144"/>
    </row>
    <row r="278">
      <c r="E278" s="144"/>
    </row>
    <row r="279">
      <c r="E279" s="144"/>
    </row>
    <row r="280">
      <c r="E280" s="144"/>
    </row>
    <row r="281">
      <c r="E281" s="144"/>
    </row>
    <row r="282">
      <c r="E282" s="144"/>
    </row>
    <row r="283">
      <c r="E283" s="144"/>
    </row>
    <row r="284">
      <c r="E284" s="144"/>
    </row>
    <row r="285">
      <c r="E285" s="144"/>
    </row>
    <row r="286">
      <c r="E286" s="144"/>
    </row>
    <row r="287">
      <c r="E287" s="144"/>
    </row>
    <row r="288">
      <c r="E288" s="144"/>
    </row>
    <row r="289">
      <c r="E289" s="144"/>
    </row>
    <row r="290">
      <c r="E290" s="144"/>
    </row>
    <row r="291">
      <c r="E291" s="144"/>
    </row>
    <row r="292">
      <c r="E292" s="144"/>
    </row>
    <row r="293">
      <c r="E293" s="144"/>
    </row>
    <row r="294">
      <c r="E294" s="144"/>
    </row>
    <row r="295">
      <c r="E295" s="144"/>
    </row>
    <row r="296">
      <c r="E296" s="144"/>
    </row>
    <row r="297">
      <c r="E297" s="144"/>
    </row>
    <row r="298">
      <c r="E298" s="144"/>
    </row>
    <row r="299">
      <c r="E299" s="144"/>
    </row>
    <row r="300">
      <c r="E300" s="144"/>
    </row>
    <row r="301">
      <c r="E301" s="144"/>
    </row>
    <row r="302">
      <c r="E302" s="144"/>
    </row>
    <row r="303">
      <c r="E303" s="144"/>
    </row>
    <row r="304">
      <c r="E304" s="144"/>
    </row>
    <row r="305">
      <c r="E305" s="144"/>
    </row>
    <row r="306">
      <c r="E306" s="144"/>
    </row>
    <row r="307">
      <c r="E307" s="144"/>
    </row>
    <row r="308">
      <c r="E308" s="144"/>
    </row>
    <row r="309">
      <c r="E309" s="144"/>
    </row>
    <row r="310">
      <c r="E310" s="144"/>
    </row>
    <row r="311">
      <c r="E311" s="144"/>
    </row>
    <row r="312">
      <c r="E312" s="144"/>
    </row>
    <row r="313">
      <c r="E313" s="144"/>
    </row>
    <row r="314">
      <c r="E314" s="144"/>
    </row>
    <row r="315">
      <c r="E315" s="144"/>
    </row>
    <row r="316">
      <c r="E316" s="144"/>
    </row>
    <row r="317">
      <c r="E317" s="144"/>
    </row>
    <row r="318">
      <c r="E318" s="144"/>
    </row>
    <row r="319">
      <c r="E319" s="144"/>
    </row>
    <row r="320">
      <c r="E320" s="144"/>
    </row>
    <row r="321">
      <c r="E321" s="144"/>
    </row>
    <row r="322">
      <c r="E322" s="144"/>
    </row>
    <row r="323">
      <c r="E323" s="144"/>
    </row>
    <row r="324">
      <c r="E324" s="144"/>
    </row>
    <row r="325">
      <c r="E325" s="144"/>
    </row>
    <row r="326">
      <c r="E326" s="144"/>
    </row>
    <row r="327">
      <c r="E327" s="144"/>
    </row>
    <row r="328">
      <c r="E328" s="144"/>
    </row>
    <row r="329">
      <c r="E329" s="144"/>
    </row>
    <row r="330">
      <c r="E330" s="144"/>
    </row>
    <row r="331">
      <c r="E331" s="144"/>
    </row>
    <row r="332">
      <c r="E332" s="144"/>
    </row>
    <row r="333">
      <c r="E333" s="144"/>
    </row>
    <row r="334">
      <c r="E334" s="144"/>
    </row>
    <row r="335">
      <c r="E335" s="144"/>
    </row>
    <row r="336">
      <c r="E336" s="144"/>
    </row>
    <row r="337">
      <c r="E337" s="144"/>
    </row>
    <row r="338">
      <c r="E338" s="144"/>
    </row>
    <row r="339">
      <c r="E339" s="144"/>
    </row>
    <row r="340">
      <c r="E340" s="144"/>
    </row>
    <row r="341">
      <c r="E341" s="144"/>
    </row>
    <row r="342">
      <c r="E342" s="144"/>
    </row>
    <row r="343">
      <c r="E343" s="144"/>
    </row>
    <row r="344">
      <c r="E344" s="144"/>
    </row>
    <row r="345">
      <c r="E345" s="144"/>
    </row>
    <row r="346">
      <c r="E346" s="144"/>
    </row>
    <row r="347">
      <c r="E347" s="144"/>
    </row>
    <row r="348">
      <c r="E348" s="144"/>
    </row>
    <row r="349">
      <c r="E349" s="144"/>
    </row>
    <row r="350">
      <c r="E350" s="144"/>
    </row>
    <row r="351">
      <c r="E351" s="144"/>
    </row>
    <row r="352">
      <c r="E352" s="144"/>
    </row>
    <row r="353">
      <c r="E353" s="144"/>
    </row>
    <row r="354">
      <c r="E354" s="144"/>
    </row>
    <row r="355">
      <c r="E355" s="144"/>
    </row>
    <row r="356">
      <c r="E356" s="144"/>
    </row>
    <row r="357">
      <c r="E357" s="144"/>
    </row>
    <row r="358">
      <c r="E358" s="144"/>
    </row>
    <row r="359">
      <c r="E359" s="144"/>
    </row>
    <row r="360">
      <c r="E360" s="144"/>
    </row>
    <row r="361">
      <c r="E361" s="144"/>
    </row>
    <row r="362">
      <c r="E362" s="144"/>
    </row>
    <row r="363">
      <c r="E363" s="144"/>
    </row>
    <row r="364">
      <c r="E364" s="144"/>
    </row>
    <row r="365">
      <c r="E365" s="144"/>
    </row>
    <row r="366">
      <c r="E366" s="144"/>
    </row>
    <row r="367">
      <c r="E367" s="144"/>
    </row>
    <row r="368">
      <c r="E368" s="144"/>
    </row>
    <row r="369">
      <c r="E369" s="144"/>
    </row>
    <row r="370">
      <c r="E370" s="144"/>
    </row>
    <row r="371">
      <c r="E371" s="144"/>
    </row>
    <row r="372">
      <c r="E372" s="144"/>
    </row>
    <row r="373">
      <c r="E373" s="144"/>
    </row>
    <row r="374">
      <c r="E374" s="144"/>
    </row>
    <row r="375">
      <c r="E375" s="144"/>
    </row>
    <row r="376">
      <c r="E376" s="144"/>
    </row>
    <row r="377">
      <c r="E377" s="144"/>
    </row>
    <row r="378">
      <c r="E378" s="144"/>
    </row>
    <row r="379">
      <c r="E379" s="144"/>
    </row>
    <row r="380">
      <c r="E380" s="144"/>
    </row>
    <row r="381">
      <c r="E381" s="144"/>
    </row>
    <row r="382">
      <c r="E382" s="144"/>
    </row>
    <row r="383">
      <c r="E383" s="144"/>
    </row>
    <row r="384">
      <c r="E384" s="144"/>
    </row>
    <row r="385">
      <c r="E385" s="144"/>
    </row>
    <row r="386">
      <c r="E386" s="144"/>
    </row>
    <row r="387">
      <c r="E387" s="144"/>
    </row>
    <row r="388">
      <c r="E388" s="144"/>
    </row>
    <row r="389">
      <c r="E389" s="144"/>
    </row>
    <row r="390">
      <c r="E390" s="144"/>
    </row>
    <row r="391">
      <c r="E391" s="144"/>
    </row>
    <row r="392">
      <c r="E392" s="144"/>
    </row>
    <row r="393">
      <c r="E393" s="144"/>
    </row>
    <row r="394">
      <c r="E394" s="144"/>
    </row>
    <row r="395">
      <c r="E395" s="144"/>
    </row>
    <row r="396">
      <c r="E396" s="144"/>
    </row>
    <row r="397">
      <c r="E397" s="144"/>
    </row>
    <row r="398">
      <c r="E398" s="144"/>
    </row>
    <row r="399">
      <c r="E399" s="144"/>
    </row>
    <row r="400">
      <c r="E400" s="144"/>
    </row>
    <row r="401">
      <c r="E401" s="144"/>
    </row>
    <row r="402">
      <c r="E402" s="144"/>
    </row>
    <row r="403">
      <c r="E403" s="144"/>
    </row>
    <row r="404">
      <c r="E404" s="144"/>
    </row>
    <row r="405">
      <c r="E405" s="144"/>
    </row>
    <row r="406">
      <c r="E406" s="144"/>
    </row>
    <row r="407">
      <c r="E407" s="144"/>
    </row>
    <row r="408">
      <c r="E408" s="144"/>
    </row>
    <row r="409">
      <c r="E409" s="144"/>
    </row>
    <row r="410">
      <c r="E410" s="144"/>
    </row>
    <row r="411">
      <c r="E411" s="144"/>
    </row>
    <row r="412">
      <c r="E412" s="144"/>
    </row>
    <row r="413">
      <c r="E413" s="144"/>
    </row>
    <row r="414">
      <c r="E414" s="144"/>
    </row>
    <row r="415">
      <c r="E415" s="144"/>
    </row>
    <row r="416">
      <c r="E416" s="144"/>
    </row>
    <row r="417">
      <c r="E417" s="144"/>
    </row>
    <row r="418">
      <c r="E418" s="144"/>
    </row>
    <row r="419">
      <c r="E419" s="144"/>
    </row>
    <row r="420">
      <c r="E420" s="144"/>
    </row>
    <row r="421">
      <c r="E421" s="144"/>
    </row>
    <row r="422">
      <c r="E422" s="144"/>
    </row>
    <row r="423">
      <c r="E423" s="144"/>
    </row>
    <row r="424">
      <c r="E424" s="144"/>
    </row>
    <row r="425">
      <c r="E425" s="144"/>
    </row>
    <row r="426">
      <c r="E426" s="144"/>
    </row>
    <row r="427">
      <c r="E427" s="144"/>
    </row>
    <row r="428">
      <c r="E428" s="144"/>
    </row>
    <row r="429">
      <c r="E429" s="144"/>
    </row>
    <row r="430">
      <c r="E430" s="144"/>
    </row>
    <row r="431">
      <c r="E431" s="144"/>
    </row>
    <row r="432">
      <c r="E432" s="144"/>
    </row>
    <row r="433">
      <c r="E433" s="144"/>
    </row>
    <row r="434">
      <c r="E434" s="144"/>
    </row>
    <row r="435">
      <c r="E435" s="144"/>
    </row>
    <row r="436">
      <c r="E436" s="144"/>
    </row>
    <row r="437">
      <c r="E437" s="144"/>
    </row>
    <row r="438">
      <c r="E438" s="144"/>
    </row>
    <row r="439">
      <c r="E439" s="144"/>
    </row>
    <row r="440">
      <c r="E440" s="144"/>
    </row>
    <row r="441">
      <c r="E441" s="144"/>
    </row>
    <row r="442">
      <c r="E442" s="144"/>
    </row>
    <row r="443">
      <c r="E443" s="144"/>
    </row>
    <row r="444">
      <c r="E444" s="144"/>
    </row>
    <row r="445">
      <c r="E445" s="144"/>
    </row>
    <row r="446">
      <c r="E446" s="144"/>
    </row>
    <row r="447">
      <c r="E447" s="144"/>
    </row>
    <row r="448">
      <c r="E448" s="144"/>
    </row>
    <row r="449">
      <c r="E449" s="144"/>
    </row>
    <row r="450">
      <c r="E450" s="144"/>
    </row>
    <row r="451">
      <c r="E451" s="144"/>
    </row>
    <row r="452">
      <c r="E452" s="144"/>
    </row>
    <row r="453">
      <c r="E453" s="144"/>
    </row>
    <row r="454">
      <c r="E454" s="144"/>
    </row>
    <row r="455">
      <c r="E455" s="144"/>
    </row>
    <row r="456">
      <c r="E456" s="144"/>
    </row>
    <row r="457">
      <c r="E457" s="144"/>
    </row>
    <row r="458">
      <c r="E458" s="144"/>
    </row>
    <row r="459">
      <c r="E459" s="144"/>
    </row>
    <row r="460">
      <c r="E460" s="144"/>
    </row>
    <row r="461">
      <c r="E461" s="144"/>
    </row>
    <row r="462">
      <c r="E462" s="144"/>
    </row>
    <row r="463">
      <c r="E463" s="144"/>
    </row>
    <row r="464">
      <c r="E464" s="144"/>
    </row>
    <row r="465">
      <c r="E465" s="144"/>
    </row>
    <row r="466">
      <c r="E466" s="144"/>
    </row>
    <row r="467">
      <c r="E467" s="144"/>
    </row>
    <row r="468">
      <c r="E468" s="144"/>
    </row>
    <row r="469">
      <c r="E469" s="144"/>
    </row>
    <row r="470">
      <c r="E470" s="144"/>
    </row>
    <row r="471">
      <c r="E471" s="144"/>
    </row>
    <row r="472">
      <c r="E472" s="144"/>
    </row>
    <row r="473">
      <c r="E473" s="144"/>
    </row>
    <row r="474">
      <c r="E474" s="144"/>
    </row>
    <row r="475">
      <c r="E475" s="144"/>
    </row>
    <row r="476">
      <c r="E476" s="144"/>
    </row>
    <row r="477">
      <c r="E477" s="144"/>
    </row>
    <row r="478">
      <c r="E478" s="144"/>
    </row>
    <row r="479">
      <c r="E479" s="144"/>
    </row>
    <row r="480">
      <c r="E480" s="144"/>
    </row>
    <row r="481">
      <c r="E481" s="144"/>
    </row>
    <row r="482">
      <c r="E482" s="144"/>
    </row>
    <row r="483">
      <c r="E483" s="144"/>
    </row>
    <row r="484">
      <c r="E484" s="144"/>
    </row>
    <row r="485">
      <c r="E485" s="144"/>
    </row>
    <row r="486">
      <c r="E486" s="144"/>
    </row>
    <row r="487">
      <c r="E487" s="144"/>
    </row>
    <row r="488">
      <c r="E488" s="144"/>
    </row>
    <row r="489">
      <c r="E489" s="144"/>
    </row>
    <row r="490">
      <c r="E490" s="144"/>
    </row>
    <row r="491">
      <c r="E491" s="144"/>
    </row>
    <row r="492">
      <c r="E492" s="144"/>
    </row>
    <row r="493">
      <c r="E493" s="144"/>
    </row>
    <row r="494">
      <c r="E494" s="144"/>
    </row>
    <row r="495">
      <c r="E495" s="144"/>
    </row>
    <row r="496">
      <c r="E496" s="144"/>
    </row>
    <row r="497">
      <c r="E497" s="144"/>
    </row>
    <row r="498">
      <c r="E498" s="144"/>
    </row>
    <row r="499">
      <c r="E499" s="144"/>
    </row>
    <row r="500">
      <c r="E500" s="144"/>
    </row>
    <row r="501">
      <c r="E501" s="144"/>
    </row>
    <row r="502">
      <c r="E502" s="144"/>
    </row>
    <row r="503">
      <c r="E503" s="144"/>
    </row>
    <row r="504">
      <c r="E504" s="144"/>
    </row>
    <row r="505">
      <c r="E505" s="144"/>
    </row>
    <row r="506">
      <c r="E506" s="144"/>
    </row>
    <row r="507">
      <c r="E507" s="144"/>
    </row>
    <row r="508">
      <c r="E508" s="144"/>
    </row>
    <row r="509">
      <c r="E509" s="144"/>
    </row>
    <row r="510">
      <c r="E510" s="144"/>
    </row>
    <row r="511">
      <c r="E511" s="144"/>
    </row>
    <row r="512">
      <c r="E512" s="144"/>
    </row>
    <row r="513">
      <c r="E513" s="144"/>
    </row>
    <row r="514">
      <c r="E514" s="144"/>
    </row>
    <row r="515">
      <c r="E515" s="144"/>
    </row>
    <row r="516">
      <c r="E516" s="144"/>
    </row>
    <row r="517">
      <c r="E517" s="144"/>
    </row>
    <row r="518">
      <c r="E518" s="144"/>
    </row>
    <row r="519">
      <c r="E519" s="144"/>
    </row>
    <row r="520">
      <c r="E520" s="144"/>
    </row>
    <row r="521">
      <c r="E521" s="144"/>
    </row>
    <row r="522">
      <c r="E522" s="144"/>
    </row>
    <row r="523">
      <c r="E523" s="144"/>
    </row>
    <row r="524">
      <c r="E524" s="144"/>
    </row>
    <row r="525">
      <c r="E525" s="144"/>
    </row>
    <row r="526">
      <c r="E526" s="144"/>
    </row>
    <row r="527">
      <c r="E527" s="144"/>
    </row>
    <row r="528">
      <c r="E528" s="144"/>
    </row>
    <row r="529">
      <c r="E529" s="144"/>
    </row>
    <row r="530">
      <c r="E530" s="144"/>
    </row>
    <row r="531">
      <c r="E531" s="144"/>
    </row>
    <row r="532">
      <c r="E532" s="144"/>
    </row>
    <row r="533">
      <c r="E533" s="144"/>
    </row>
    <row r="534">
      <c r="E534" s="144"/>
    </row>
    <row r="535">
      <c r="E535" s="144"/>
    </row>
    <row r="536">
      <c r="E536" s="144"/>
    </row>
    <row r="537">
      <c r="E537" s="144"/>
    </row>
    <row r="538">
      <c r="E538" s="144"/>
    </row>
    <row r="539">
      <c r="E539" s="144"/>
    </row>
    <row r="540">
      <c r="E540" s="144"/>
    </row>
    <row r="541">
      <c r="E541" s="144"/>
    </row>
    <row r="542">
      <c r="E542" s="144"/>
    </row>
    <row r="543">
      <c r="E543" s="144"/>
    </row>
    <row r="544">
      <c r="E544" s="144"/>
    </row>
    <row r="545">
      <c r="E545" s="144"/>
    </row>
    <row r="546">
      <c r="E546" s="144"/>
    </row>
    <row r="547">
      <c r="E547" s="144"/>
    </row>
    <row r="548">
      <c r="E548" s="144"/>
    </row>
    <row r="549">
      <c r="E549" s="144"/>
    </row>
    <row r="550">
      <c r="E550" s="144"/>
    </row>
    <row r="551">
      <c r="E551" s="144"/>
    </row>
    <row r="552">
      <c r="E552" s="144"/>
    </row>
    <row r="553">
      <c r="E553" s="144"/>
    </row>
    <row r="554">
      <c r="E554" s="144"/>
    </row>
    <row r="555">
      <c r="E555" s="144"/>
    </row>
    <row r="556">
      <c r="E556" s="144"/>
    </row>
    <row r="557">
      <c r="E557" s="144"/>
    </row>
    <row r="558">
      <c r="E558" s="144"/>
    </row>
    <row r="559">
      <c r="E559" s="144"/>
    </row>
    <row r="560">
      <c r="E560" s="144"/>
    </row>
    <row r="561">
      <c r="E561" s="144"/>
    </row>
    <row r="562">
      <c r="E562" s="144"/>
    </row>
    <row r="563">
      <c r="E563" s="144"/>
    </row>
    <row r="564">
      <c r="E564" s="144"/>
    </row>
    <row r="565">
      <c r="E565" s="144"/>
    </row>
    <row r="566">
      <c r="E566" s="144"/>
    </row>
    <row r="567">
      <c r="E567" s="144"/>
    </row>
    <row r="568">
      <c r="E568" s="144"/>
    </row>
    <row r="569">
      <c r="E569" s="144"/>
    </row>
    <row r="570">
      <c r="E570" s="144"/>
    </row>
    <row r="571">
      <c r="E571" s="144"/>
    </row>
    <row r="572">
      <c r="E572" s="144"/>
    </row>
    <row r="573">
      <c r="E573" s="144"/>
    </row>
    <row r="574">
      <c r="E574" s="144"/>
    </row>
    <row r="575">
      <c r="E575" s="144"/>
    </row>
    <row r="576">
      <c r="E576" s="144"/>
    </row>
    <row r="577">
      <c r="E577" s="144"/>
    </row>
    <row r="578">
      <c r="E578" s="144"/>
    </row>
    <row r="579">
      <c r="E579" s="144"/>
    </row>
    <row r="580">
      <c r="E580" s="144"/>
    </row>
    <row r="581">
      <c r="E581" s="144"/>
    </row>
    <row r="582">
      <c r="E582" s="144"/>
    </row>
    <row r="583">
      <c r="E583" s="144"/>
    </row>
    <row r="584">
      <c r="E584" s="144"/>
    </row>
    <row r="585">
      <c r="E585" s="144"/>
    </row>
    <row r="586">
      <c r="E586" s="144"/>
    </row>
    <row r="587">
      <c r="E587" s="144"/>
    </row>
    <row r="588">
      <c r="E588" s="144"/>
    </row>
    <row r="589">
      <c r="E589" s="144"/>
    </row>
    <row r="590">
      <c r="E590" s="144"/>
    </row>
    <row r="591">
      <c r="E591" s="144"/>
    </row>
    <row r="592">
      <c r="E592" s="144"/>
    </row>
    <row r="593">
      <c r="E593" s="144"/>
    </row>
    <row r="594">
      <c r="E594" s="144"/>
    </row>
    <row r="595">
      <c r="E595" s="144"/>
    </row>
    <row r="596">
      <c r="E596" s="144"/>
    </row>
    <row r="597">
      <c r="E597" s="144"/>
    </row>
    <row r="598">
      <c r="E598" s="144"/>
    </row>
    <row r="599">
      <c r="E599" s="144"/>
    </row>
    <row r="600">
      <c r="E600" s="144"/>
    </row>
    <row r="601">
      <c r="E601" s="144"/>
    </row>
    <row r="602">
      <c r="E602" s="144"/>
    </row>
    <row r="603">
      <c r="E603" s="144"/>
    </row>
    <row r="604">
      <c r="E604" s="144"/>
    </row>
    <row r="605">
      <c r="E605" s="144"/>
    </row>
    <row r="606">
      <c r="E606" s="144"/>
    </row>
    <row r="607">
      <c r="E607" s="144"/>
    </row>
    <row r="608">
      <c r="E608" s="144"/>
    </row>
    <row r="609">
      <c r="E609" s="144"/>
    </row>
    <row r="610">
      <c r="E610" s="144"/>
    </row>
    <row r="611">
      <c r="E611" s="144"/>
    </row>
    <row r="612">
      <c r="E612" s="144"/>
    </row>
    <row r="613">
      <c r="E613" s="144"/>
    </row>
    <row r="614">
      <c r="E614" s="144"/>
    </row>
    <row r="615">
      <c r="E615" s="144"/>
    </row>
    <row r="616">
      <c r="E616" s="144"/>
    </row>
    <row r="617">
      <c r="E617" s="144"/>
    </row>
    <row r="618">
      <c r="E618" s="144"/>
    </row>
    <row r="619">
      <c r="E619" s="144"/>
    </row>
    <row r="620">
      <c r="E620" s="144"/>
    </row>
    <row r="621">
      <c r="E621" s="144"/>
    </row>
    <row r="622">
      <c r="E622" s="144"/>
    </row>
    <row r="623">
      <c r="E623" s="144"/>
    </row>
    <row r="624">
      <c r="E624" s="144"/>
    </row>
    <row r="625">
      <c r="E625" s="144"/>
    </row>
    <row r="626">
      <c r="E626" s="144"/>
    </row>
    <row r="627">
      <c r="E627" s="144"/>
    </row>
    <row r="628">
      <c r="E628" s="144"/>
    </row>
    <row r="629">
      <c r="E629" s="144"/>
    </row>
    <row r="630">
      <c r="E630" s="144"/>
    </row>
    <row r="631">
      <c r="E631" s="144"/>
    </row>
    <row r="632">
      <c r="E632" s="144"/>
    </row>
    <row r="633">
      <c r="E633" s="144"/>
    </row>
    <row r="634">
      <c r="E634" s="144"/>
    </row>
    <row r="635">
      <c r="E635" s="144"/>
    </row>
    <row r="636">
      <c r="E636" s="144"/>
    </row>
    <row r="637">
      <c r="E637" s="144"/>
    </row>
    <row r="638">
      <c r="E638" s="144"/>
    </row>
    <row r="639">
      <c r="E639" s="144"/>
    </row>
    <row r="640">
      <c r="E640" s="144"/>
    </row>
    <row r="641">
      <c r="E641" s="144"/>
    </row>
    <row r="642">
      <c r="E642" s="144"/>
    </row>
    <row r="643">
      <c r="E643" s="144"/>
    </row>
    <row r="644">
      <c r="E644" s="144"/>
    </row>
    <row r="645">
      <c r="E645" s="144"/>
    </row>
    <row r="646">
      <c r="E646" s="144"/>
    </row>
    <row r="647">
      <c r="E647" s="144"/>
    </row>
    <row r="648">
      <c r="E648" s="144"/>
    </row>
    <row r="649">
      <c r="E649" s="144"/>
    </row>
    <row r="650">
      <c r="E650" s="144"/>
    </row>
    <row r="651">
      <c r="E651" s="144"/>
    </row>
    <row r="652">
      <c r="E652" s="144"/>
    </row>
    <row r="653">
      <c r="E653" s="144"/>
    </row>
    <row r="654">
      <c r="E654" s="144"/>
    </row>
    <row r="655">
      <c r="E655" s="144"/>
    </row>
    <row r="656">
      <c r="E656" s="144"/>
    </row>
    <row r="657">
      <c r="E657" s="144"/>
    </row>
    <row r="658">
      <c r="E658" s="144"/>
    </row>
    <row r="659">
      <c r="E659" s="144"/>
    </row>
    <row r="660">
      <c r="E660" s="144"/>
    </row>
    <row r="661">
      <c r="E661" s="144"/>
    </row>
    <row r="662">
      <c r="E662" s="144"/>
    </row>
    <row r="663">
      <c r="E663" s="144"/>
    </row>
    <row r="664">
      <c r="E664" s="144"/>
    </row>
    <row r="665">
      <c r="E665" s="144"/>
    </row>
    <row r="666">
      <c r="E666" s="144"/>
    </row>
    <row r="667">
      <c r="E667" s="144"/>
    </row>
    <row r="668">
      <c r="E668" s="144"/>
    </row>
    <row r="669">
      <c r="E669" s="144"/>
    </row>
    <row r="670">
      <c r="E670" s="144"/>
    </row>
    <row r="671">
      <c r="E671" s="144"/>
    </row>
    <row r="672">
      <c r="E672" s="144"/>
    </row>
    <row r="673">
      <c r="E673" s="144"/>
    </row>
    <row r="674">
      <c r="E674" s="144"/>
    </row>
    <row r="675">
      <c r="E675" s="144"/>
    </row>
    <row r="676">
      <c r="E676" s="144"/>
    </row>
    <row r="677">
      <c r="E677" s="144"/>
    </row>
    <row r="678">
      <c r="E678" s="144"/>
    </row>
    <row r="679">
      <c r="E679" s="144"/>
    </row>
    <row r="680">
      <c r="E680" s="144"/>
    </row>
    <row r="681">
      <c r="E681" s="144"/>
    </row>
    <row r="682">
      <c r="E682" s="144"/>
    </row>
    <row r="683">
      <c r="E683" s="144"/>
    </row>
    <row r="684">
      <c r="E684" s="144"/>
    </row>
    <row r="685">
      <c r="E685" s="144"/>
    </row>
    <row r="686">
      <c r="E686" s="144"/>
    </row>
    <row r="687">
      <c r="E687" s="144"/>
    </row>
    <row r="688">
      <c r="E688" s="144"/>
    </row>
    <row r="689">
      <c r="E689" s="144"/>
    </row>
    <row r="690">
      <c r="E690" s="144"/>
    </row>
    <row r="691">
      <c r="E691" s="144"/>
    </row>
    <row r="692">
      <c r="E692" s="144"/>
    </row>
    <row r="693">
      <c r="E693" s="144"/>
    </row>
    <row r="694">
      <c r="E694" s="144"/>
    </row>
    <row r="695">
      <c r="E695" s="144"/>
    </row>
    <row r="696">
      <c r="E696" s="144"/>
    </row>
    <row r="697">
      <c r="E697" s="144"/>
    </row>
    <row r="698">
      <c r="E698" s="144"/>
    </row>
    <row r="699">
      <c r="E699" s="144"/>
    </row>
    <row r="700">
      <c r="E700" s="144"/>
    </row>
    <row r="701">
      <c r="E701" s="144"/>
    </row>
    <row r="702">
      <c r="E702" s="144"/>
    </row>
    <row r="703">
      <c r="E703" s="144"/>
    </row>
    <row r="704">
      <c r="E704" s="144"/>
    </row>
    <row r="705">
      <c r="E705" s="144"/>
    </row>
    <row r="706">
      <c r="E706" s="144"/>
    </row>
    <row r="707">
      <c r="E707" s="144"/>
    </row>
    <row r="708">
      <c r="E708" s="144"/>
    </row>
    <row r="709">
      <c r="E709" s="144"/>
    </row>
    <row r="710">
      <c r="E710" s="144"/>
    </row>
    <row r="711">
      <c r="E711" s="144"/>
    </row>
    <row r="712">
      <c r="E712" s="144"/>
    </row>
    <row r="713">
      <c r="E713" s="144"/>
    </row>
    <row r="714">
      <c r="E714" s="144"/>
    </row>
    <row r="715">
      <c r="E715" s="144"/>
    </row>
    <row r="716">
      <c r="E716" s="144"/>
    </row>
    <row r="717">
      <c r="E717" s="144"/>
    </row>
    <row r="718">
      <c r="E718" s="144"/>
    </row>
    <row r="719">
      <c r="E719" s="144"/>
    </row>
    <row r="720">
      <c r="E720" s="144"/>
    </row>
    <row r="721">
      <c r="E721" s="144"/>
    </row>
    <row r="722">
      <c r="E722" s="144"/>
    </row>
    <row r="723">
      <c r="E723" s="144"/>
    </row>
    <row r="724">
      <c r="E724" s="144"/>
    </row>
    <row r="725">
      <c r="E725" s="144"/>
    </row>
    <row r="726">
      <c r="E726" s="144"/>
    </row>
    <row r="727">
      <c r="E727" s="144"/>
    </row>
    <row r="728">
      <c r="E728" s="144"/>
    </row>
    <row r="729">
      <c r="E729" s="144"/>
    </row>
    <row r="730">
      <c r="E730" s="144"/>
    </row>
    <row r="731">
      <c r="E731" s="144"/>
    </row>
    <row r="732">
      <c r="E732" s="144"/>
    </row>
    <row r="733">
      <c r="E733" s="144"/>
    </row>
    <row r="734">
      <c r="E734" s="144"/>
    </row>
    <row r="735">
      <c r="E735" s="144"/>
    </row>
    <row r="736">
      <c r="E736" s="144"/>
    </row>
    <row r="737">
      <c r="E737" s="144"/>
    </row>
    <row r="738">
      <c r="E738" s="144"/>
    </row>
    <row r="739">
      <c r="E739" s="144"/>
    </row>
    <row r="740">
      <c r="E740" s="144"/>
    </row>
    <row r="741">
      <c r="E741" s="144"/>
    </row>
    <row r="742">
      <c r="E742" s="144"/>
    </row>
    <row r="743">
      <c r="E743" s="144"/>
    </row>
    <row r="744">
      <c r="E744" s="144"/>
    </row>
    <row r="745">
      <c r="E745" s="144"/>
    </row>
    <row r="746">
      <c r="E746" s="144"/>
    </row>
    <row r="747">
      <c r="E747" s="144"/>
    </row>
    <row r="748">
      <c r="E748" s="144"/>
    </row>
    <row r="749">
      <c r="E749" s="144"/>
    </row>
    <row r="750">
      <c r="E750" s="144"/>
    </row>
    <row r="751">
      <c r="E751" s="144"/>
    </row>
    <row r="752">
      <c r="E752" s="144"/>
    </row>
    <row r="753">
      <c r="E753" s="144"/>
    </row>
    <row r="754">
      <c r="E754" s="144"/>
    </row>
    <row r="755">
      <c r="E755" s="144"/>
    </row>
    <row r="756">
      <c r="E756" s="144"/>
    </row>
    <row r="757">
      <c r="E757" s="144"/>
    </row>
    <row r="758">
      <c r="E758" s="144"/>
    </row>
    <row r="759">
      <c r="E759" s="144"/>
    </row>
    <row r="760">
      <c r="E760" s="144"/>
    </row>
    <row r="761">
      <c r="E761" s="144"/>
    </row>
    <row r="762">
      <c r="E762" s="144"/>
    </row>
    <row r="763">
      <c r="E763" s="144"/>
    </row>
    <row r="764">
      <c r="E764" s="144"/>
    </row>
    <row r="765">
      <c r="E765" s="144"/>
    </row>
    <row r="766">
      <c r="E766" s="144"/>
    </row>
    <row r="767">
      <c r="E767" s="144"/>
    </row>
    <row r="768">
      <c r="E768" s="144"/>
    </row>
    <row r="769">
      <c r="E769" s="144"/>
    </row>
    <row r="770">
      <c r="E770" s="144"/>
    </row>
    <row r="771">
      <c r="E771" s="144"/>
    </row>
    <row r="772">
      <c r="E772" s="144"/>
    </row>
    <row r="773">
      <c r="E773" s="144"/>
    </row>
    <row r="774">
      <c r="E774" s="144"/>
    </row>
    <row r="775">
      <c r="E775" s="144"/>
    </row>
    <row r="776">
      <c r="E776" s="144"/>
    </row>
    <row r="777">
      <c r="E777" s="144"/>
    </row>
    <row r="778">
      <c r="E778" s="144"/>
    </row>
    <row r="779">
      <c r="E779" s="144"/>
    </row>
    <row r="780">
      <c r="E780" s="144"/>
    </row>
    <row r="781">
      <c r="E781" s="144"/>
    </row>
    <row r="782">
      <c r="E782" s="144"/>
    </row>
    <row r="783">
      <c r="E783" s="144"/>
    </row>
    <row r="784">
      <c r="E784" s="144"/>
    </row>
    <row r="785">
      <c r="E785" s="144"/>
    </row>
    <row r="786">
      <c r="E786" s="144"/>
    </row>
    <row r="787">
      <c r="E787" s="144"/>
    </row>
    <row r="788">
      <c r="E788" s="144"/>
    </row>
    <row r="789">
      <c r="E789" s="144"/>
    </row>
    <row r="790">
      <c r="E790" s="144"/>
    </row>
    <row r="791">
      <c r="E791" s="144"/>
    </row>
    <row r="792">
      <c r="E792" s="144"/>
    </row>
    <row r="793">
      <c r="E793" s="144"/>
    </row>
    <row r="794">
      <c r="E794" s="144"/>
    </row>
    <row r="795">
      <c r="E795" s="144"/>
    </row>
    <row r="796">
      <c r="E796" s="144"/>
    </row>
    <row r="797">
      <c r="E797" s="144"/>
    </row>
    <row r="798">
      <c r="E798" s="144"/>
    </row>
    <row r="799">
      <c r="E799" s="144"/>
    </row>
    <row r="800">
      <c r="E800" s="144"/>
    </row>
    <row r="801">
      <c r="E801" s="144"/>
    </row>
    <row r="802">
      <c r="E802" s="144"/>
    </row>
    <row r="803">
      <c r="E803" s="144"/>
    </row>
    <row r="804">
      <c r="E804" s="144"/>
    </row>
    <row r="805">
      <c r="E805" s="144"/>
    </row>
    <row r="806">
      <c r="E806" s="144"/>
    </row>
    <row r="807">
      <c r="E807" s="144"/>
    </row>
    <row r="808">
      <c r="E808" s="144"/>
    </row>
    <row r="809">
      <c r="E809" s="144"/>
    </row>
    <row r="810">
      <c r="E810" s="144"/>
    </row>
    <row r="811">
      <c r="E811" s="144"/>
    </row>
    <row r="812">
      <c r="E812" s="144"/>
    </row>
    <row r="813">
      <c r="E813" s="144"/>
    </row>
    <row r="814">
      <c r="E814" s="144"/>
    </row>
    <row r="815">
      <c r="E815" s="144"/>
    </row>
    <row r="816">
      <c r="E816" s="144"/>
    </row>
    <row r="817">
      <c r="E817" s="144"/>
    </row>
    <row r="818">
      <c r="E818" s="144"/>
    </row>
    <row r="819">
      <c r="E819" s="144"/>
    </row>
    <row r="820">
      <c r="E820" s="144"/>
    </row>
    <row r="821">
      <c r="E821" s="144"/>
    </row>
    <row r="822">
      <c r="E822" s="144"/>
    </row>
    <row r="823">
      <c r="E823" s="144"/>
    </row>
    <row r="824">
      <c r="E824" s="144"/>
    </row>
    <row r="825">
      <c r="E825" s="144"/>
    </row>
    <row r="826">
      <c r="E826" s="144"/>
    </row>
    <row r="827">
      <c r="E827" s="144"/>
    </row>
    <row r="828">
      <c r="E828" s="144"/>
    </row>
    <row r="829">
      <c r="E829" s="144"/>
    </row>
    <row r="830">
      <c r="E830" s="144"/>
    </row>
    <row r="831">
      <c r="E831" s="144"/>
    </row>
    <row r="832">
      <c r="E832" s="144"/>
    </row>
    <row r="833">
      <c r="E833" s="144"/>
    </row>
    <row r="834">
      <c r="E834" s="144"/>
    </row>
    <row r="835">
      <c r="E835" s="144"/>
    </row>
    <row r="836">
      <c r="E836" s="144"/>
    </row>
    <row r="837">
      <c r="E837" s="144"/>
    </row>
    <row r="838">
      <c r="E838" s="144"/>
    </row>
    <row r="839">
      <c r="E839" s="144"/>
    </row>
    <row r="840">
      <c r="E840" s="144"/>
    </row>
    <row r="841">
      <c r="E841" s="144"/>
    </row>
    <row r="842">
      <c r="E842" s="144"/>
    </row>
    <row r="843">
      <c r="E843" s="144"/>
    </row>
    <row r="844">
      <c r="E844" s="144"/>
    </row>
    <row r="845">
      <c r="E845" s="144"/>
    </row>
    <row r="846">
      <c r="E846" s="144"/>
    </row>
    <row r="847">
      <c r="E847" s="144"/>
    </row>
    <row r="848">
      <c r="E848" s="144"/>
    </row>
    <row r="849">
      <c r="E849" s="144"/>
    </row>
    <row r="850">
      <c r="E850" s="144"/>
    </row>
    <row r="851">
      <c r="E851" s="144"/>
    </row>
    <row r="852">
      <c r="E852" s="144"/>
    </row>
    <row r="853">
      <c r="E853" s="144"/>
    </row>
    <row r="854">
      <c r="E854" s="144"/>
    </row>
    <row r="855">
      <c r="E855" s="144"/>
    </row>
    <row r="856">
      <c r="E856" s="144"/>
    </row>
    <row r="857">
      <c r="E857" s="144"/>
    </row>
    <row r="858">
      <c r="E858" s="144"/>
    </row>
    <row r="859">
      <c r="E859" s="144"/>
    </row>
    <row r="860">
      <c r="E860" s="144"/>
    </row>
    <row r="861">
      <c r="E861" s="144"/>
    </row>
    <row r="862">
      <c r="E862" s="144"/>
    </row>
    <row r="863">
      <c r="E863" s="144"/>
    </row>
    <row r="864">
      <c r="E864" s="144"/>
    </row>
    <row r="865">
      <c r="E865" s="144"/>
    </row>
    <row r="866">
      <c r="E866" s="144"/>
    </row>
    <row r="867">
      <c r="E867" s="144"/>
    </row>
    <row r="868">
      <c r="E868" s="144"/>
    </row>
    <row r="869">
      <c r="E869" s="144"/>
    </row>
    <row r="870">
      <c r="E870" s="144"/>
    </row>
    <row r="871">
      <c r="E871" s="144"/>
    </row>
    <row r="872">
      <c r="E872" s="144"/>
    </row>
    <row r="873">
      <c r="E873" s="144"/>
    </row>
    <row r="874">
      <c r="E874" s="144"/>
    </row>
    <row r="875">
      <c r="E875" s="144"/>
    </row>
    <row r="876">
      <c r="E876" s="144"/>
    </row>
    <row r="877">
      <c r="E877" s="144"/>
    </row>
    <row r="878">
      <c r="E878" s="144"/>
    </row>
    <row r="879">
      <c r="E879" s="144"/>
    </row>
    <row r="880">
      <c r="E880" s="144"/>
    </row>
    <row r="881">
      <c r="E881" s="144"/>
    </row>
    <row r="882">
      <c r="E882" s="144"/>
    </row>
    <row r="883">
      <c r="E883" s="144"/>
    </row>
    <row r="884">
      <c r="E884" s="144"/>
    </row>
    <row r="885">
      <c r="E885" s="144"/>
    </row>
    <row r="886">
      <c r="E886" s="144"/>
    </row>
    <row r="887">
      <c r="E887" s="144"/>
    </row>
    <row r="888">
      <c r="E888" s="144"/>
    </row>
    <row r="889">
      <c r="E889" s="144"/>
    </row>
    <row r="890">
      <c r="E890" s="144"/>
    </row>
    <row r="891">
      <c r="E891" s="144"/>
    </row>
    <row r="892">
      <c r="E892" s="144"/>
    </row>
    <row r="893">
      <c r="E893" s="144"/>
    </row>
    <row r="894">
      <c r="E894" s="144"/>
    </row>
    <row r="895">
      <c r="E895" s="144"/>
    </row>
    <row r="896">
      <c r="E896" s="144"/>
    </row>
    <row r="897">
      <c r="E897" s="144"/>
    </row>
    <row r="898">
      <c r="E898" s="144"/>
    </row>
    <row r="899">
      <c r="E899" s="144"/>
    </row>
    <row r="900">
      <c r="E900" s="144"/>
    </row>
    <row r="901">
      <c r="E901" s="144"/>
    </row>
    <row r="902">
      <c r="E902" s="144"/>
    </row>
    <row r="903">
      <c r="E903" s="144"/>
    </row>
    <row r="904">
      <c r="E904" s="144"/>
    </row>
    <row r="905">
      <c r="E905" s="144"/>
    </row>
    <row r="906">
      <c r="E906" s="144"/>
    </row>
    <row r="907">
      <c r="E907" s="144"/>
    </row>
    <row r="908">
      <c r="E908" s="144"/>
    </row>
    <row r="909">
      <c r="E909" s="144"/>
    </row>
    <row r="910">
      <c r="E910" s="144"/>
    </row>
    <row r="911">
      <c r="E911" s="144"/>
    </row>
    <row r="912">
      <c r="E912" s="144"/>
    </row>
    <row r="913">
      <c r="E913" s="144"/>
    </row>
    <row r="914">
      <c r="E914" s="144"/>
    </row>
    <row r="915">
      <c r="E915" s="144"/>
    </row>
    <row r="916">
      <c r="E916" s="144"/>
    </row>
    <row r="917">
      <c r="E917" s="144"/>
    </row>
    <row r="918">
      <c r="E918" s="144"/>
    </row>
    <row r="919">
      <c r="E919" s="144"/>
    </row>
    <row r="920">
      <c r="E920" s="144"/>
    </row>
    <row r="921">
      <c r="E921" s="144"/>
    </row>
    <row r="922">
      <c r="E922" s="144"/>
    </row>
    <row r="923">
      <c r="E923" s="144"/>
    </row>
    <row r="924">
      <c r="E924" s="144"/>
    </row>
    <row r="925">
      <c r="E925" s="144"/>
    </row>
    <row r="926">
      <c r="E926" s="144"/>
    </row>
    <row r="927">
      <c r="E927" s="144"/>
    </row>
    <row r="928">
      <c r="E928" s="144"/>
    </row>
    <row r="929">
      <c r="E929" s="144"/>
    </row>
    <row r="930">
      <c r="E930" s="144"/>
    </row>
    <row r="931">
      <c r="E931" s="144"/>
    </row>
    <row r="932">
      <c r="E932" s="144"/>
    </row>
    <row r="933">
      <c r="E933" s="144"/>
    </row>
    <row r="934">
      <c r="E934" s="144"/>
    </row>
    <row r="935">
      <c r="E935" s="144"/>
    </row>
    <row r="936">
      <c r="E936" s="144"/>
    </row>
    <row r="937">
      <c r="E937" s="144"/>
    </row>
    <row r="938">
      <c r="E938" s="144"/>
    </row>
    <row r="939">
      <c r="E939" s="144"/>
    </row>
    <row r="940">
      <c r="E940" s="144"/>
    </row>
    <row r="941">
      <c r="E941" s="144"/>
    </row>
    <row r="942">
      <c r="E942" s="144"/>
    </row>
    <row r="943">
      <c r="E943" s="144"/>
    </row>
    <row r="944">
      <c r="E944" s="144"/>
    </row>
    <row r="945">
      <c r="E945" s="144"/>
    </row>
    <row r="946">
      <c r="E946" s="144"/>
    </row>
    <row r="947">
      <c r="E947" s="144"/>
    </row>
    <row r="948">
      <c r="E948" s="144"/>
    </row>
    <row r="949">
      <c r="E949" s="144"/>
    </row>
    <row r="950">
      <c r="E950" s="144"/>
    </row>
    <row r="951">
      <c r="E951" s="144"/>
    </row>
    <row r="952">
      <c r="E952" s="144"/>
    </row>
    <row r="953">
      <c r="E953" s="144"/>
    </row>
    <row r="954">
      <c r="E954" s="144"/>
    </row>
    <row r="955">
      <c r="E955" s="144"/>
    </row>
    <row r="956">
      <c r="E956" s="144"/>
    </row>
    <row r="957">
      <c r="E957" s="144"/>
    </row>
    <row r="958">
      <c r="E958" s="144"/>
    </row>
    <row r="959">
      <c r="E959" s="144"/>
    </row>
    <row r="960">
      <c r="E960" s="144"/>
    </row>
    <row r="961">
      <c r="E961" s="144"/>
    </row>
    <row r="962">
      <c r="E962" s="144"/>
    </row>
    <row r="963">
      <c r="E963" s="144"/>
    </row>
    <row r="964">
      <c r="E964" s="144"/>
    </row>
    <row r="965">
      <c r="E965" s="144"/>
    </row>
    <row r="966">
      <c r="E966" s="144"/>
    </row>
    <row r="967">
      <c r="E967" s="144"/>
    </row>
    <row r="968">
      <c r="E968" s="144"/>
    </row>
    <row r="969">
      <c r="E969" s="144"/>
    </row>
    <row r="970">
      <c r="E970" s="144"/>
    </row>
    <row r="971">
      <c r="E971" s="144"/>
    </row>
    <row r="972">
      <c r="E972" s="144"/>
    </row>
    <row r="973">
      <c r="E973" s="144"/>
    </row>
    <row r="974">
      <c r="E974" s="144"/>
    </row>
    <row r="975">
      <c r="E975" s="144"/>
    </row>
    <row r="976">
      <c r="E976" s="144"/>
    </row>
    <row r="977">
      <c r="E977" s="144"/>
    </row>
    <row r="978">
      <c r="E978" s="144"/>
    </row>
    <row r="979">
      <c r="E979" s="144"/>
    </row>
    <row r="980">
      <c r="E980" s="144"/>
    </row>
    <row r="981">
      <c r="E981" s="144"/>
    </row>
    <row r="982">
      <c r="E982" s="144"/>
    </row>
    <row r="983">
      <c r="E983" s="144"/>
    </row>
    <row r="984">
      <c r="E984" s="144"/>
    </row>
    <row r="985">
      <c r="E985" s="144"/>
    </row>
    <row r="986">
      <c r="E986" s="144"/>
    </row>
    <row r="987">
      <c r="E987" s="144"/>
    </row>
  </sheetData>
  <mergeCells count="2">
    <mergeCell ref="A9:B10"/>
    <mergeCell ref="A21:B22"/>
  </mergeCells>
  <hyperlinks>
    <hyperlink r:id="rId1" ref="D2"/>
    <hyperlink r:id="rId2" ref="D3"/>
    <hyperlink r:id="rId3" ref="D4"/>
    <hyperlink r:id="rId4" ref="D5"/>
    <hyperlink r:id="rId5" ref="D6"/>
    <hyperlink r:id="rId6" ref="D15"/>
    <hyperlink r:id="rId7" ref="D16"/>
    <hyperlink r:id="rId8" ref="D17"/>
    <hyperlink r:id="rId9" ref="D18"/>
  </hyperlinks>
  <drawing r:id="rId10"/>
</worksheet>
</file>